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lion 15\Desktop\"/>
    </mc:Choice>
  </mc:AlternateContent>
  <xr:revisionPtr revIDLastSave="0" documentId="8_{D7527925-1E48-4138-B749-0C8EC26F3714}" xr6:coauthVersionLast="47" xr6:coauthVersionMax="47" xr10:uidLastSave="{00000000-0000-0000-0000-000000000000}"/>
  <bookViews>
    <workbookView xWindow="-108" yWindow="-108" windowWidth="23256" windowHeight="12456" xr2:uid="{3503C4A0-8D0F-498E-B3BC-A7F56854A034}"/>
  </bookViews>
  <sheets>
    <sheet name="EV INTERES SOCIAL" sheetId="3" r:id="rId1"/>
    <sheet name="CASH FLOW INTERES SOCIAL" sheetId="4" r:id="rId2"/>
    <sheet name="EV TURISTICOS" sheetId="2" r:id="rId3"/>
    <sheet name="CASH FLOW - TURISTICOS" sheetId="5" r:id="rId4"/>
  </sheets>
  <definedNames>
    <definedName name="_xlnm.Print_Area" localSheetId="0">'EV INTERES SOCIAL'!$B$5:$L$92</definedName>
    <definedName name="_xlnm.Print_Area" localSheetId="2">'EV TURISTICOS'!$A$1:$M$86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93" i="5" l="1"/>
  <c r="AA93" i="5" s="1"/>
  <c r="AR78" i="5"/>
  <c r="AN78" i="5"/>
  <c r="X78" i="5"/>
  <c r="T78" i="5"/>
  <c r="P78" i="5"/>
  <c r="D78" i="5"/>
  <c r="BJ77" i="5"/>
  <c r="BJ78" i="5" s="1"/>
  <c r="BI77" i="5"/>
  <c r="BI78" i="5" s="1"/>
  <c r="BH77" i="5"/>
  <c r="BH78" i="5" s="1"/>
  <c r="BG77" i="5"/>
  <c r="BG78" i="5" s="1"/>
  <c r="BF77" i="5"/>
  <c r="BF78" i="5" s="1"/>
  <c r="BE77" i="5"/>
  <c r="BE78" i="5" s="1"/>
  <c r="BD77" i="5"/>
  <c r="BD78" i="5" s="1"/>
  <c r="BC77" i="5"/>
  <c r="BC78" i="5" s="1"/>
  <c r="BB77" i="5"/>
  <c r="BB78" i="5" s="1"/>
  <c r="BA77" i="5"/>
  <c r="BA78" i="5" s="1"/>
  <c r="AZ77" i="5"/>
  <c r="AZ78" i="5" s="1"/>
  <c r="AY77" i="5"/>
  <c r="AY78" i="5" s="1"/>
  <c r="AX77" i="5"/>
  <c r="AX78" i="5" s="1"/>
  <c r="AW77" i="5"/>
  <c r="AW78" i="5" s="1"/>
  <c r="AV77" i="5"/>
  <c r="AV78" i="5" s="1"/>
  <c r="AU77" i="5"/>
  <c r="AU78" i="5" s="1"/>
  <c r="AT77" i="5"/>
  <c r="AT78" i="5" s="1"/>
  <c r="AS77" i="5"/>
  <c r="AS78" i="5" s="1"/>
  <c r="AR77" i="5"/>
  <c r="AQ77" i="5"/>
  <c r="AQ78" i="5" s="1"/>
  <c r="AP77" i="5"/>
  <c r="AP78" i="5" s="1"/>
  <c r="AO77" i="5"/>
  <c r="AO78" i="5" s="1"/>
  <c r="AN77" i="5"/>
  <c r="AM77" i="5"/>
  <c r="AM78" i="5" s="1"/>
  <c r="AL77" i="5"/>
  <c r="AL78" i="5" s="1"/>
  <c r="AK77" i="5"/>
  <c r="AK78" i="5" s="1"/>
  <c r="AJ77" i="5"/>
  <c r="AJ78" i="5" s="1"/>
  <c r="AI77" i="5"/>
  <c r="AI78" i="5" s="1"/>
  <c r="AH77" i="5"/>
  <c r="AH78" i="5" s="1"/>
  <c r="AG77" i="5"/>
  <c r="AG78" i="5" s="1"/>
  <c r="AF77" i="5"/>
  <c r="AF78" i="5" s="1"/>
  <c r="AE77" i="5"/>
  <c r="AE78" i="5" s="1"/>
  <c r="AD77" i="5"/>
  <c r="AD78" i="5" s="1"/>
  <c r="AC77" i="5"/>
  <c r="AC78" i="5" s="1"/>
  <c r="AB77" i="5"/>
  <c r="AB78" i="5" s="1"/>
  <c r="AA77" i="5"/>
  <c r="AA78" i="5" s="1"/>
  <c r="Z77" i="5"/>
  <c r="Z78" i="5" s="1"/>
  <c r="Y77" i="5"/>
  <c r="Y78" i="5" s="1"/>
  <c r="X77" i="5"/>
  <c r="W77" i="5"/>
  <c r="W78" i="5" s="1"/>
  <c r="V77" i="5"/>
  <c r="V78" i="5" s="1"/>
  <c r="U77" i="5"/>
  <c r="U78" i="5" s="1"/>
  <c r="T77" i="5"/>
  <c r="S77" i="5"/>
  <c r="S78" i="5" s="1"/>
  <c r="R77" i="5"/>
  <c r="R78" i="5" s="1"/>
  <c r="Q77" i="5"/>
  <c r="Q78" i="5" s="1"/>
  <c r="P77" i="5"/>
  <c r="O77" i="5"/>
  <c r="O78" i="5" s="1"/>
  <c r="N77" i="5"/>
  <c r="N78" i="5" s="1"/>
  <c r="M77" i="5"/>
  <c r="M78" i="5" s="1"/>
  <c r="L77" i="5"/>
  <c r="L78" i="5" s="1"/>
  <c r="K77" i="5"/>
  <c r="K78" i="5" s="1"/>
  <c r="J77" i="5"/>
  <c r="J78" i="5" s="1"/>
  <c r="I77" i="5"/>
  <c r="I78" i="5" s="1"/>
  <c r="H77" i="5"/>
  <c r="H78" i="5" s="1"/>
  <c r="G77" i="5"/>
  <c r="G78" i="5" s="1"/>
  <c r="F77" i="5"/>
  <c r="F78" i="5" s="1"/>
  <c r="E77" i="5"/>
  <c r="E78" i="5" s="1"/>
  <c r="D77" i="5"/>
  <c r="C77" i="5"/>
  <c r="BK76" i="5"/>
  <c r="BK70" i="5"/>
  <c r="BH65" i="5"/>
  <c r="BD65" i="5"/>
  <c r="BC65" i="5"/>
  <c r="BB65" i="5"/>
  <c r="BA65" i="5"/>
  <c r="BK64" i="5"/>
  <c r="D63" i="5"/>
  <c r="BJ61" i="5"/>
  <c r="BJ65" i="5" s="1"/>
  <c r="BI61" i="5"/>
  <c r="BI65" i="5" s="1"/>
  <c r="BH61" i="5"/>
  <c r="BG61" i="5"/>
  <c r="BG65" i="5" s="1"/>
  <c r="BF61" i="5"/>
  <c r="BE61" i="5"/>
  <c r="BE65" i="5" s="1"/>
  <c r="C65" i="5"/>
  <c r="BK57" i="5"/>
  <c r="AN54" i="5"/>
  <c r="AK54" i="5"/>
  <c r="Y54" i="5"/>
  <c r="U54" i="5"/>
  <c r="P54" i="5"/>
  <c r="BK51" i="5"/>
  <c r="BK50" i="5"/>
  <c r="BK49" i="5"/>
  <c r="BK48" i="5"/>
  <c r="BK47" i="5"/>
  <c r="AP54" i="5"/>
  <c r="AO54" i="5"/>
  <c r="AM54" i="5"/>
  <c r="AL54" i="5"/>
  <c r="AJ54" i="5"/>
  <c r="AI54" i="5"/>
  <c r="AH54" i="5"/>
  <c r="AG54" i="5"/>
  <c r="AF54" i="5"/>
  <c r="AE54" i="5"/>
  <c r="AD54" i="5"/>
  <c r="AC54" i="5"/>
  <c r="AB54" i="5"/>
  <c r="AA54" i="5"/>
  <c r="Z54" i="5"/>
  <c r="X54" i="5"/>
  <c r="W54" i="5"/>
  <c r="V54" i="5"/>
  <c r="T54" i="5"/>
  <c r="S54" i="5"/>
  <c r="R54" i="5"/>
  <c r="Q54" i="5"/>
  <c r="N54" i="5"/>
  <c r="M54" i="5"/>
  <c r="K54" i="5"/>
  <c r="J54" i="5"/>
  <c r="H54" i="5"/>
  <c r="G54" i="5"/>
  <c r="E54" i="5"/>
  <c r="BK40" i="5"/>
  <c r="BK39" i="5"/>
  <c r="BK33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U22" i="5"/>
  <c r="C19" i="5"/>
  <c r="D19" i="5" s="1"/>
  <c r="E19" i="5" s="1"/>
  <c r="F19" i="5" s="1"/>
  <c r="G19" i="5" s="1"/>
  <c r="C11" i="5"/>
  <c r="C7" i="5"/>
  <c r="D4" i="5"/>
  <c r="C2" i="5"/>
  <c r="BC1" i="5"/>
  <c r="BL105" i="4"/>
  <c r="BL106" i="4" s="1"/>
  <c r="BK103" i="4"/>
  <c r="BJ103" i="4"/>
  <c r="BI103" i="4"/>
  <c r="BH103" i="4"/>
  <c r="BG103" i="4"/>
  <c r="BF103" i="4"/>
  <c r="BE103" i="4"/>
  <c r="BD103" i="4"/>
  <c r="BC103" i="4"/>
  <c r="BB103" i="4"/>
  <c r="BA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C104" i="4" s="1"/>
  <c r="D104" i="4" s="1"/>
  <c r="E104" i="4" s="1"/>
  <c r="F104" i="4" s="1"/>
  <c r="G104" i="4" s="1"/>
  <c r="H104" i="4" s="1"/>
  <c r="I104" i="4" s="1"/>
  <c r="J104" i="4" s="1"/>
  <c r="K104" i="4" s="1"/>
  <c r="L104" i="4" s="1"/>
  <c r="M104" i="4" s="1"/>
  <c r="N104" i="4" s="1"/>
  <c r="O104" i="4" s="1"/>
  <c r="P104" i="4" s="1"/>
  <c r="Q104" i="4" s="1"/>
  <c r="R104" i="4" s="1"/>
  <c r="S104" i="4" s="1"/>
  <c r="T104" i="4" s="1"/>
  <c r="AX102" i="4"/>
  <c r="AX103" i="4" s="1"/>
  <c r="AW102" i="4"/>
  <c r="AW103" i="4" s="1"/>
  <c r="BL101" i="4"/>
  <c r="U97" i="4"/>
  <c r="C89" i="4"/>
  <c r="W84" i="4"/>
  <c r="U84" i="4"/>
  <c r="H84" i="4"/>
  <c r="G84" i="4"/>
  <c r="F84" i="4"/>
  <c r="E84" i="4"/>
  <c r="D84" i="4"/>
  <c r="C84" i="4"/>
  <c r="BK83" i="4"/>
  <c r="BK84" i="4" s="1"/>
  <c r="BJ83" i="4"/>
  <c r="BJ84" i="4" s="1"/>
  <c r="BI83" i="4"/>
  <c r="BI84" i="4" s="1"/>
  <c r="BH83" i="4"/>
  <c r="BH84" i="4" s="1"/>
  <c r="BG83" i="4"/>
  <c r="BG84" i="4" s="1"/>
  <c r="BF83" i="4"/>
  <c r="BF84" i="4" s="1"/>
  <c r="BE83" i="4"/>
  <c r="BE84" i="4" s="1"/>
  <c r="Z83" i="4"/>
  <c r="Z84" i="4" s="1"/>
  <c r="Y83" i="4"/>
  <c r="Y84" i="4" s="1"/>
  <c r="X83" i="4"/>
  <c r="X84" i="4" s="1"/>
  <c r="W83" i="4"/>
  <c r="V83" i="4"/>
  <c r="V84" i="4" s="1"/>
  <c r="U83" i="4"/>
  <c r="T83" i="4"/>
  <c r="T84" i="4" s="1"/>
  <c r="S83" i="4"/>
  <c r="S84" i="4" s="1"/>
  <c r="R83" i="4"/>
  <c r="R84" i="4" s="1"/>
  <c r="Q83" i="4"/>
  <c r="Q84" i="4" s="1"/>
  <c r="P83" i="4"/>
  <c r="P84" i="4" s="1"/>
  <c r="O83" i="4"/>
  <c r="O84" i="4" s="1"/>
  <c r="N83" i="4"/>
  <c r="N84" i="4" s="1"/>
  <c r="M83" i="4"/>
  <c r="M84" i="4" s="1"/>
  <c r="L83" i="4"/>
  <c r="L84" i="4" s="1"/>
  <c r="K83" i="4"/>
  <c r="K84" i="4" s="1"/>
  <c r="J83" i="4"/>
  <c r="J84" i="4" s="1"/>
  <c r="I83" i="4"/>
  <c r="I84" i="4" s="1"/>
  <c r="AA82" i="4"/>
  <c r="O79" i="4"/>
  <c r="C78" i="4"/>
  <c r="R72" i="4"/>
  <c r="Q72" i="4"/>
  <c r="J72" i="4"/>
  <c r="I72" i="4"/>
  <c r="BL71" i="4"/>
  <c r="BL70" i="4"/>
  <c r="Y69" i="4"/>
  <c r="Z69" i="4" s="1"/>
  <c r="AA69" i="4" s="1"/>
  <c r="AB69" i="4" s="1"/>
  <c r="AC69" i="4" s="1"/>
  <c r="AD69" i="4" s="1"/>
  <c r="AE69" i="4" s="1"/>
  <c r="AF69" i="4" s="1"/>
  <c r="AG69" i="4" s="1"/>
  <c r="AH69" i="4" s="1"/>
  <c r="AI69" i="4" s="1"/>
  <c r="AJ69" i="4" s="1"/>
  <c r="AK69" i="4" s="1"/>
  <c r="AL69" i="4" s="1"/>
  <c r="AM69" i="4" s="1"/>
  <c r="AN69" i="4" s="1"/>
  <c r="AO69" i="4" s="1"/>
  <c r="AP69" i="4" s="1"/>
  <c r="AQ69" i="4" s="1"/>
  <c r="AR69" i="4" s="1"/>
  <c r="AS69" i="4" s="1"/>
  <c r="AT69" i="4" s="1"/>
  <c r="AU69" i="4" s="1"/>
  <c r="AV69" i="4" s="1"/>
  <c r="AW69" i="4" s="1"/>
  <c r="AX69" i="4" s="1"/>
  <c r="AY69" i="4" s="1"/>
  <c r="AZ69" i="4" s="1"/>
  <c r="BA69" i="4" s="1"/>
  <c r="BB69" i="4" s="1"/>
  <c r="BC69" i="4" s="1"/>
  <c r="BD69" i="4" s="1"/>
  <c r="BE69" i="4" s="1"/>
  <c r="BF69" i="4" s="1"/>
  <c r="BG69" i="4" s="1"/>
  <c r="BH69" i="4" s="1"/>
  <c r="BI69" i="4" s="1"/>
  <c r="M69" i="4"/>
  <c r="BK68" i="4"/>
  <c r="BK72" i="4" s="1"/>
  <c r="BJ68" i="4"/>
  <c r="BJ72" i="4" s="1"/>
  <c r="W68" i="4"/>
  <c r="W72" i="4" s="1"/>
  <c r="V68" i="4"/>
  <c r="V72" i="4" s="1"/>
  <c r="U68" i="4"/>
  <c r="U72" i="4" s="1"/>
  <c r="T68" i="4"/>
  <c r="T72" i="4" s="1"/>
  <c r="S68" i="4"/>
  <c r="S72" i="4" s="1"/>
  <c r="R68" i="4"/>
  <c r="Q68" i="4"/>
  <c r="P68" i="4"/>
  <c r="P72" i="4" s="1"/>
  <c r="O68" i="4"/>
  <c r="O72" i="4" s="1"/>
  <c r="N68" i="4"/>
  <c r="N72" i="4" s="1"/>
  <c r="M68" i="4"/>
  <c r="M72" i="4" s="1"/>
  <c r="L68" i="4"/>
  <c r="L72" i="4" s="1"/>
  <c r="K68" i="4"/>
  <c r="K72" i="4" s="1"/>
  <c r="J68" i="4"/>
  <c r="I68" i="4"/>
  <c r="H68" i="4"/>
  <c r="H72" i="4" s="1"/>
  <c r="G68" i="4"/>
  <c r="G72" i="4" s="1"/>
  <c r="F68" i="4"/>
  <c r="F72" i="4" s="1"/>
  <c r="E68" i="4"/>
  <c r="E72" i="4" s="1"/>
  <c r="D68" i="4"/>
  <c r="D72" i="4" s="1"/>
  <c r="C68" i="4"/>
  <c r="AG67" i="4"/>
  <c r="C72" i="4"/>
  <c r="BL64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D61" i="4"/>
  <c r="AC61" i="4"/>
  <c r="AB61" i="4"/>
  <c r="AA61" i="4"/>
  <c r="Z61" i="4"/>
  <c r="S61" i="4"/>
  <c r="K61" i="4"/>
  <c r="C61" i="4"/>
  <c r="AE61" i="4"/>
  <c r="BL59" i="4"/>
  <c r="R61" i="4"/>
  <c r="J61" i="4"/>
  <c r="BL55" i="4"/>
  <c r="BL54" i="4"/>
  <c r="X53" i="4"/>
  <c r="BL53" i="4" s="1"/>
  <c r="BL52" i="4"/>
  <c r="Y61" i="4"/>
  <c r="X61" i="4"/>
  <c r="W61" i="4"/>
  <c r="V61" i="4"/>
  <c r="U61" i="4"/>
  <c r="T61" i="4"/>
  <c r="Q61" i="4"/>
  <c r="O61" i="4"/>
  <c r="N61" i="4"/>
  <c r="M61" i="4"/>
  <c r="L61" i="4"/>
  <c r="I61" i="4"/>
  <c r="G61" i="4"/>
  <c r="F61" i="4"/>
  <c r="E61" i="4"/>
  <c r="D61" i="4"/>
  <c r="BL42" i="4"/>
  <c r="BL39" i="4"/>
  <c r="BL38" i="4"/>
  <c r="BL32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M28" i="4"/>
  <c r="L28" i="4"/>
  <c r="K28" i="4"/>
  <c r="J28" i="4"/>
  <c r="E28" i="4"/>
  <c r="D28" i="4"/>
  <c r="C28" i="4"/>
  <c r="N28" i="4"/>
  <c r="I28" i="4"/>
  <c r="H28" i="4"/>
  <c r="G28" i="4"/>
  <c r="F28" i="4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C19" i="4"/>
  <c r="C11" i="4"/>
  <c r="C7" i="4"/>
  <c r="D4" i="4"/>
  <c r="C2" i="4"/>
  <c r="H18" i="3"/>
  <c r="H16" i="3"/>
  <c r="H12" i="3"/>
  <c r="B96" i="3"/>
  <c r="I74" i="3"/>
  <c r="I71" i="3"/>
  <c r="C70" i="3"/>
  <c r="I61" i="3"/>
  <c r="I54" i="3"/>
  <c r="I53" i="3"/>
  <c r="F47" i="3"/>
  <c r="I47" i="3" s="1"/>
  <c r="B47" i="3"/>
  <c r="F45" i="3"/>
  <c r="I45" i="3" s="1"/>
  <c r="B45" i="3"/>
  <c r="D41" i="3"/>
  <c r="B41" i="3"/>
  <c r="G40" i="3"/>
  <c r="G41" i="3" s="1"/>
  <c r="D40" i="3"/>
  <c r="B40" i="3"/>
  <c r="B39" i="3"/>
  <c r="G37" i="3"/>
  <c r="B37" i="3"/>
  <c r="D36" i="3"/>
  <c r="D37" i="3" s="1"/>
  <c r="B36" i="3"/>
  <c r="B35" i="3"/>
  <c r="I28" i="3"/>
  <c r="I27" i="3"/>
  <c r="I29" i="3" s="1"/>
  <c r="I26" i="3" s="1"/>
  <c r="F27" i="3"/>
  <c r="D21" i="3"/>
  <c r="I19" i="3"/>
  <c r="J19" i="3" s="1"/>
  <c r="H19" i="3"/>
  <c r="G18" i="3"/>
  <c r="H17" i="3"/>
  <c r="I17" i="3" s="1"/>
  <c r="J17" i="3" s="1"/>
  <c r="G16" i="3"/>
  <c r="I15" i="3"/>
  <c r="J15" i="3" s="1"/>
  <c r="I14" i="3"/>
  <c r="J14" i="3" s="1"/>
  <c r="H13" i="3"/>
  <c r="I13" i="3" s="1"/>
  <c r="J13" i="3" s="1"/>
  <c r="G13" i="3"/>
  <c r="F13" i="3"/>
  <c r="E13" i="3"/>
  <c r="E17" i="3" s="1"/>
  <c r="G12" i="3"/>
  <c r="E12" i="3"/>
  <c r="E16" i="3" s="1"/>
  <c r="I11" i="3"/>
  <c r="J11" i="3" s="1"/>
  <c r="G11" i="3"/>
  <c r="F11" i="3"/>
  <c r="F36" i="3" s="1"/>
  <c r="I36" i="3" s="1"/>
  <c r="F10" i="3"/>
  <c r="C29" i="5" l="1"/>
  <c r="D58" i="5"/>
  <c r="BK61" i="5"/>
  <c r="D7" i="5"/>
  <c r="BK59" i="5"/>
  <c r="E4" i="5"/>
  <c r="D11" i="5"/>
  <c r="F4" i="5"/>
  <c r="D2" i="5"/>
  <c r="BK29" i="5"/>
  <c r="C83" i="5"/>
  <c r="C84" i="5"/>
  <c r="BK45" i="5"/>
  <c r="E58" i="5"/>
  <c r="D65" i="5"/>
  <c r="C41" i="5"/>
  <c r="D54" i="5"/>
  <c r="BF65" i="5"/>
  <c r="D52" i="5"/>
  <c r="BK52" i="5"/>
  <c r="F53" i="5"/>
  <c r="AB93" i="5"/>
  <c r="C54" i="5"/>
  <c r="Y60" i="5"/>
  <c r="BK60" i="5" s="1"/>
  <c r="F62" i="5"/>
  <c r="G62" i="5" s="1"/>
  <c r="H62" i="5" s="1"/>
  <c r="I62" i="5" s="1"/>
  <c r="J62" i="5" s="1"/>
  <c r="K62" i="5" s="1"/>
  <c r="L62" i="5" s="1"/>
  <c r="M62" i="5" s="1"/>
  <c r="N62" i="5" s="1"/>
  <c r="O62" i="5" s="1"/>
  <c r="P62" i="5" s="1"/>
  <c r="Q62" i="5" s="1"/>
  <c r="R62" i="5" s="1"/>
  <c r="S62" i="5" s="1"/>
  <c r="T62" i="5" s="1"/>
  <c r="U62" i="5" s="1"/>
  <c r="V62" i="5" s="1"/>
  <c r="W62" i="5" s="1"/>
  <c r="X62" i="5" s="1"/>
  <c r="Y62" i="5" s="1"/>
  <c r="Z62" i="5" s="1"/>
  <c r="AA62" i="5" s="1"/>
  <c r="AB62" i="5" s="1"/>
  <c r="AC62" i="5" s="1"/>
  <c r="AD62" i="5" s="1"/>
  <c r="AE62" i="5" s="1"/>
  <c r="AF62" i="5" s="1"/>
  <c r="AG62" i="5" s="1"/>
  <c r="AH62" i="5" s="1"/>
  <c r="AI62" i="5" s="1"/>
  <c r="C78" i="5"/>
  <c r="BK78" i="5" s="1"/>
  <c r="BK77" i="5"/>
  <c r="BK63" i="5"/>
  <c r="H61" i="4"/>
  <c r="P61" i="4"/>
  <c r="BL69" i="4"/>
  <c r="D11" i="4"/>
  <c r="BL28" i="4"/>
  <c r="E4" i="4"/>
  <c r="BL50" i="4"/>
  <c r="BL56" i="4"/>
  <c r="BL57" i="4"/>
  <c r="BL58" i="4"/>
  <c r="AN67" i="4"/>
  <c r="BL67" i="4" s="1"/>
  <c r="AK67" i="4"/>
  <c r="D2" i="4"/>
  <c r="BL66" i="4"/>
  <c r="X68" i="4"/>
  <c r="X72" i="4" s="1"/>
  <c r="C46" i="4"/>
  <c r="Y65" i="4"/>
  <c r="AJ66" i="4"/>
  <c r="AK66" i="4" s="1"/>
  <c r="AL66" i="4" s="1"/>
  <c r="AM66" i="4" s="1"/>
  <c r="AN66" i="4" s="1"/>
  <c r="AO66" i="4" s="1"/>
  <c r="AP66" i="4" s="1"/>
  <c r="AQ66" i="4" s="1"/>
  <c r="AR66" i="4" s="1"/>
  <c r="AS66" i="4" s="1"/>
  <c r="AT66" i="4" s="1"/>
  <c r="AU66" i="4" s="1"/>
  <c r="AV66" i="4" s="1"/>
  <c r="AW66" i="4" s="1"/>
  <c r="AX66" i="4" s="1"/>
  <c r="AY66" i="4" s="1"/>
  <c r="AZ66" i="4" s="1"/>
  <c r="BA66" i="4" s="1"/>
  <c r="BB66" i="4" s="1"/>
  <c r="BC66" i="4" s="1"/>
  <c r="BD66" i="4" s="1"/>
  <c r="BE66" i="4" s="1"/>
  <c r="BF66" i="4" s="1"/>
  <c r="BG66" i="4" s="1"/>
  <c r="BH66" i="4" s="1"/>
  <c r="BI66" i="4" s="1"/>
  <c r="Y43" i="4"/>
  <c r="Z43" i="4" s="1"/>
  <c r="AA43" i="4" s="1"/>
  <c r="AB43" i="4" s="1"/>
  <c r="AC43" i="4" s="1"/>
  <c r="AD43" i="4" s="1"/>
  <c r="AE43" i="4" s="1"/>
  <c r="AF43" i="4" s="1"/>
  <c r="AG43" i="4" s="1"/>
  <c r="AH43" i="4" s="1"/>
  <c r="AI43" i="4" s="1"/>
  <c r="AJ43" i="4" s="1"/>
  <c r="AK43" i="4" s="1"/>
  <c r="AL43" i="4" s="1"/>
  <c r="AM43" i="4" s="1"/>
  <c r="AN43" i="4" s="1"/>
  <c r="AO43" i="4" s="1"/>
  <c r="AP43" i="4" s="1"/>
  <c r="AQ43" i="4" s="1"/>
  <c r="AR43" i="4" s="1"/>
  <c r="AS43" i="4" s="1"/>
  <c r="AT43" i="4" s="1"/>
  <c r="AU43" i="4" s="1"/>
  <c r="AV43" i="4" s="1"/>
  <c r="AF60" i="4"/>
  <c r="AB82" i="4"/>
  <c r="AA83" i="4"/>
  <c r="U104" i="4"/>
  <c r="V104" i="4" s="1"/>
  <c r="W104" i="4" s="1"/>
  <c r="X104" i="4" s="1"/>
  <c r="Y104" i="4" s="1"/>
  <c r="Z104" i="4" s="1"/>
  <c r="AA104" i="4" s="1"/>
  <c r="AB104" i="4" s="1"/>
  <c r="AC104" i="4" s="1"/>
  <c r="AD104" i="4" s="1"/>
  <c r="AE104" i="4" s="1"/>
  <c r="AF104" i="4" s="1"/>
  <c r="AG104" i="4" s="1"/>
  <c r="AH104" i="4" s="1"/>
  <c r="AI104" i="4" s="1"/>
  <c r="AJ104" i="4" s="1"/>
  <c r="AK104" i="4" s="1"/>
  <c r="AL104" i="4" s="1"/>
  <c r="AM104" i="4" s="1"/>
  <c r="AN104" i="4" s="1"/>
  <c r="AO104" i="4" s="1"/>
  <c r="AP104" i="4" s="1"/>
  <c r="AQ104" i="4" s="1"/>
  <c r="AR104" i="4" s="1"/>
  <c r="AS104" i="4" s="1"/>
  <c r="AT104" i="4" s="1"/>
  <c r="AU104" i="4" s="1"/>
  <c r="AV104" i="4" s="1"/>
  <c r="AW104" i="4" s="1"/>
  <c r="AX104" i="4" s="1"/>
  <c r="T99" i="4"/>
  <c r="C90" i="4"/>
  <c r="AY102" i="4"/>
  <c r="E18" i="3"/>
  <c r="F18" i="3" s="1"/>
  <c r="F16" i="3"/>
  <c r="J74" i="3"/>
  <c r="G21" i="3"/>
  <c r="J26" i="3"/>
  <c r="G17" i="3"/>
  <c r="F17" i="3"/>
  <c r="F21" i="3" s="1"/>
  <c r="E27" i="3" s="1"/>
  <c r="E19" i="3"/>
  <c r="F19" i="3" s="1"/>
  <c r="F12" i="3"/>
  <c r="F37" i="3" s="1"/>
  <c r="I37" i="3" s="1"/>
  <c r="E7" i="5" l="1"/>
  <c r="E2" i="5"/>
  <c r="D83" i="5"/>
  <c r="D84" i="5" s="1"/>
  <c r="C71" i="5"/>
  <c r="AC93" i="5"/>
  <c r="AJ62" i="5"/>
  <c r="AI65" i="5"/>
  <c r="F2" i="5"/>
  <c r="F7" i="5"/>
  <c r="G4" i="5"/>
  <c r="E83" i="5"/>
  <c r="E84" i="5" s="1"/>
  <c r="I53" i="5"/>
  <c r="F54" i="5"/>
  <c r="F58" i="5"/>
  <c r="E65" i="5"/>
  <c r="D41" i="5"/>
  <c r="E11" i="5"/>
  <c r="E41" i="5"/>
  <c r="E2" i="4"/>
  <c r="E11" i="4"/>
  <c r="F4" i="4"/>
  <c r="AF61" i="4"/>
  <c r="BL61" i="4" s="1"/>
  <c r="AG60" i="4"/>
  <c r="AG61" i="4" s="1"/>
  <c r="AZ102" i="4"/>
  <c r="AY103" i="4"/>
  <c r="BL43" i="4"/>
  <c r="AA84" i="4"/>
  <c r="AB83" i="4"/>
  <c r="AC82" i="4"/>
  <c r="AB84" i="4"/>
  <c r="D78" i="4"/>
  <c r="D89" i="4"/>
  <c r="D90" i="4"/>
  <c r="Z65" i="4"/>
  <c r="Y68" i="4"/>
  <c r="Y72" i="4"/>
  <c r="C92" i="4"/>
  <c r="D7" i="4"/>
  <c r="I10" i="3"/>
  <c r="I12" i="3"/>
  <c r="J12" i="3" s="1"/>
  <c r="E21" i="3"/>
  <c r="G19" i="3"/>
  <c r="F40" i="3"/>
  <c r="I40" i="3" s="1"/>
  <c r="F41" i="3"/>
  <c r="I41" i="3" s="1"/>
  <c r="E71" i="5" l="1"/>
  <c r="E72" i="5" s="1"/>
  <c r="E86" i="5"/>
  <c r="E89" i="5" s="1"/>
  <c r="D71" i="5"/>
  <c r="D72" i="5" s="1"/>
  <c r="D86" i="5" s="1"/>
  <c r="D89" i="5" s="1"/>
  <c r="F41" i="5"/>
  <c r="AD93" i="5"/>
  <c r="F65" i="5"/>
  <c r="G58" i="5"/>
  <c r="AJ65" i="5"/>
  <c r="AK62" i="5"/>
  <c r="L53" i="5"/>
  <c r="I54" i="5"/>
  <c r="F83" i="5"/>
  <c r="F84" i="5"/>
  <c r="C72" i="5"/>
  <c r="G2" i="5"/>
  <c r="H4" i="5"/>
  <c r="F11" i="5"/>
  <c r="E7" i="4"/>
  <c r="AA65" i="4"/>
  <c r="Z68" i="4"/>
  <c r="Z72" i="4"/>
  <c r="AC83" i="4"/>
  <c r="AC84" i="4" s="1"/>
  <c r="AD82" i="4"/>
  <c r="BL60" i="4"/>
  <c r="E46" i="4"/>
  <c r="AY104" i="4"/>
  <c r="AZ104" i="4" s="1"/>
  <c r="BA104" i="4" s="1"/>
  <c r="BB104" i="4" s="1"/>
  <c r="BC104" i="4" s="1"/>
  <c r="BD104" i="4" s="1"/>
  <c r="BE104" i="4" s="1"/>
  <c r="BF104" i="4" s="1"/>
  <c r="BG104" i="4" s="1"/>
  <c r="BH104" i="4" s="1"/>
  <c r="BI104" i="4" s="1"/>
  <c r="BJ104" i="4" s="1"/>
  <c r="BK104" i="4" s="1"/>
  <c r="C93" i="4"/>
  <c r="C95" i="4"/>
  <c r="E89" i="4"/>
  <c r="E90" i="4" s="1"/>
  <c r="D46" i="4"/>
  <c r="D92" i="4" s="1"/>
  <c r="D95" i="4" s="1"/>
  <c r="D107" i="4" s="1"/>
  <c r="AZ103" i="4"/>
  <c r="BL102" i="4"/>
  <c r="G4" i="4"/>
  <c r="F11" i="4"/>
  <c r="F2" i="4"/>
  <c r="E78" i="4"/>
  <c r="I31" i="3"/>
  <c r="I49" i="3"/>
  <c r="J10" i="3"/>
  <c r="I18" i="3"/>
  <c r="J18" i="3" s="1"/>
  <c r="I16" i="3"/>
  <c r="J16" i="3" s="1"/>
  <c r="O53" i="5" l="1"/>
  <c r="O54" i="5" s="1"/>
  <c r="L54" i="5"/>
  <c r="BK54" i="5" s="1"/>
  <c r="BK53" i="5"/>
  <c r="G83" i="5"/>
  <c r="G65" i="5"/>
  <c r="H58" i="5"/>
  <c r="C86" i="5"/>
  <c r="I4" i="5"/>
  <c r="H2" i="5"/>
  <c r="AK65" i="5"/>
  <c r="AL62" i="5"/>
  <c r="AE93" i="5"/>
  <c r="G11" i="5"/>
  <c r="G41" i="5"/>
  <c r="F71" i="5"/>
  <c r="F72" i="5" s="1"/>
  <c r="F86" i="5" s="1"/>
  <c r="F89" i="5" s="1"/>
  <c r="G7" i="5"/>
  <c r="E92" i="4"/>
  <c r="E95" i="4" s="1"/>
  <c r="E107" i="4" s="1"/>
  <c r="H4" i="4"/>
  <c r="G11" i="4"/>
  <c r="G2" i="4"/>
  <c r="AD83" i="4"/>
  <c r="AD84" i="4" s="1"/>
  <c r="AE82" i="4"/>
  <c r="F78" i="4"/>
  <c r="D93" i="4"/>
  <c r="E93" i="4" s="1"/>
  <c r="F89" i="4"/>
  <c r="F90" i="4"/>
  <c r="F7" i="4"/>
  <c r="G7" i="4" s="1"/>
  <c r="AB65" i="4"/>
  <c r="AA68" i="4"/>
  <c r="AA72" i="4" s="1"/>
  <c r="F46" i="4"/>
  <c r="C96" i="4"/>
  <c r="C107" i="4"/>
  <c r="C108" i="4" s="1"/>
  <c r="I21" i="3"/>
  <c r="L31" i="3" s="1"/>
  <c r="J21" i="3"/>
  <c r="I63" i="3"/>
  <c r="I51" i="3" s="1"/>
  <c r="I72" i="3"/>
  <c r="I68" i="3"/>
  <c r="J31" i="3"/>
  <c r="I67" i="3"/>
  <c r="I66" i="3"/>
  <c r="H18" i="5" l="1"/>
  <c r="H19" i="5"/>
  <c r="H41" i="5"/>
  <c r="G84" i="5"/>
  <c r="J4" i="5"/>
  <c r="I2" i="5"/>
  <c r="H11" i="5"/>
  <c r="H83" i="5"/>
  <c r="H84" i="5" s="1"/>
  <c r="AL65" i="5"/>
  <c r="AM62" i="5"/>
  <c r="H7" i="5"/>
  <c r="C87" i="5"/>
  <c r="D87" i="5" s="1"/>
  <c r="E87" i="5" s="1"/>
  <c r="F87" i="5" s="1"/>
  <c r="C89" i="5"/>
  <c r="AF93" i="5"/>
  <c r="I58" i="5"/>
  <c r="H65" i="5"/>
  <c r="D108" i="4"/>
  <c r="E108" i="4" s="1"/>
  <c r="G46" i="4"/>
  <c r="F92" i="4"/>
  <c r="F95" i="4" s="1"/>
  <c r="F107" i="4" s="1"/>
  <c r="I4" i="4"/>
  <c r="H11" i="4"/>
  <c r="H2" i="4"/>
  <c r="G78" i="4"/>
  <c r="AB68" i="4"/>
  <c r="AB72" i="4"/>
  <c r="AC65" i="4"/>
  <c r="H7" i="4"/>
  <c r="D96" i="4"/>
  <c r="E96" i="4" s="1"/>
  <c r="F96" i="4" s="1"/>
  <c r="F93" i="4"/>
  <c r="AE84" i="4"/>
  <c r="AE83" i="4"/>
  <c r="AF82" i="4"/>
  <c r="G89" i="4"/>
  <c r="G90" i="4" s="1"/>
  <c r="J51" i="3"/>
  <c r="L51" i="3"/>
  <c r="I69" i="3"/>
  <c r="I79" i="3"/>
  <c r="I84" i="3"/>
  <c r="I70" i="3"/>
  <c r="H21" i="3"/>
  <c r="L74" i="3"/>
  <c r="L26" i="3"/>
  <c r="H71" i="5" l="1"/>
  <c r="H72" i="5" s="1"/>
  <c r="H86" i="5" s="1"/>
  <c r="H89" i="5" s="1"/>
  <c r="I41" i="5"/>
  <c r="I7" i="5"/>
  <c r="I65" i="5"/>
  <c r="J58" i="5"/>
  <c r="AM65" i="5"/>
  <c r="AN62" i="5"/>
  <c r="I18" i="5"/>
  <c r="AG93" i="5"/>
  <c r="C90" i="5"/>
  <c r="K4" i="5"/>
  <c r="J2" i="5"/>
  <c r="I83" i="5"/>
  <c r="I84" i="5"/>
  <c r="I11" i="5"/>
  <c r="G71" i="5"/>
  <c r="I19" i="5"/>
  <c r="G92" i="4"/>
  <c r="G95" i="4" s="1"/>
  <c r="G107" i="4" s="1"/>
  <c r="H78" i="4"/>
  <c r="F108" i="4"/>
  <c r="AF83" i="4"/>
  <c r="AF84" i="4" s="1"/>
  <c r="AG82" i="4"/>
  <c r="H89" i="4"/>
  <c r="H90" i="4" s="1"/>
  <c r="H92" i="4" s="1"/>
  <c r="H95" i="4" s="1"/>
  <c r="H107" i="4" s="1"/>
  <c r="AC68" i="4"/>
  <c r="AC72" i="4" s="1"/>
  <c r="AD65" i="4"/>
  <c r="I11" i="4"/>
  <c r="I2" i="4"/>
  <c r="I7" i="4"/>
  <c r="J4" i="4"/>
  <c r="G96" i="4"/>
  <c r="H46" i="4"/>
  <c r="G93" i="4"/>
  <c r="I65" i="3"/>
  <c r="J65" i="3" s="1"/>
  <c r="I85" i="3"/>
  <c r="I82" i="3" s="1"/>
  <c r="I80" i="3"/>
  <c r="I78" i="3" s="1"/>
  <c r="J41" i="5" l="1"/>
  <c r="J7" i="5"/>
  <c r="J83" i="5"/>
  <c r="J84" i="5" s="1"/>
  <c r="D90" i="5"/>
  <c r="E90" i="5" s="1"/>
  <c r="F90" i="5" s="1"/>
  <c r="AO62" i="5"/>
  <c r="AN65" i="5"/>
  <c r="I71" i="5"/>
  <c r="I72" i="5" s="1"/>
  <c r="I86" i="5" s="1"/>
  <c r="I89" i="5" s="1"/>
  <c r="J11" i="5"/>
  <c r="K2" i="5"/>
  <c r="L4" i="5"/>
  <c r="J18" i="5"/>
  <c r="G72" i="5"/>
  <c r="AH93" i="5"/>
  <c r="K58" i="5"/>
  <c r="J65" i="5"/>
  <c r="K4" i="4"/>
  <c r="J7" i="4"/>
  <c r="J2" i="4"/>
  <c r="J11" i="4"/>
  <c r="AD72" i="4"/>
  <c r="AE65" i="4"/>
  <c r="AD68" i="4"/>
  <c r="AG83" i="4"/>
  <c r="AG84" i="4" s="1"/>
  <c r="AH82" i="4"/>
  <c r="I78" i="4"/>
  <c r="I89" i="4"/>
  <c r="I90" i="4" s="1"/>
  <c r="I46" i="4"/>
  <c r="H93" i="4"/>
  <c r="H96" i="4"/>
  <c r="G108" i="4"/>
  <c r="H108" i="4" s="1"/>
  <c r="L65" i="3"/>
  <c r="L78" i="3"/>
  <c r="J78" i="3"/>
  <c r="J82" i="3"/>
  <c r="L82" i="3"/>
  <c r="I87" i="3"/>
  <c r="J71" i="5" l="1"/>
  <c r="AO65" i="5"/>
  <c r="AP62" i="5"/>
  <c r="AI93" i="5"/>
  <c r="K18" i="5"/>
  <c r="K83" i="5"/>
  <c r="K84" i="5" s="1"/>
  <c r="G86" i="5"/>
  <c r="K41" i="5"/>
  <c r="J19" i="5"/>
  <c r="L2" i="5"/>
  <c r="M4" i="5"/>
  <c r="K7" i="5"/>
  <c r="L58" i="5"/>
  <c r="K65" i="5"/>
  <c r="K11" i="5"/>
  <c r="I92" i="4"/>
  <c r="I95" i="4" s="1"/>
  <c r="I107" i="4" s="1"/>
  <c r="I108" i="4" s="1"/>
  <c r="AF65" i="4"/>
  <c r="AE68" i="4"/>
  <c r="AE72" i="4" s="1"/>
  <c r="J46" i="4"/>
  <c r="J90" i="4"/>
  <c r="J92" i="4" s="1"/>
  <c r="J95" i="4" s="1"/>
  <c r="J107" i="4" s="1"/>
  <c r="J89" i="4"/>
  <c r="AH83" i="4"/>
  <c r="AH84" i="4" s="1"/>
  <c r="AI82" i="4"/>
  <c r="I96" i="4"/>
  <c r="J78" i="4"/>
  <c r="K7" i="4"/>
  <c r="K2" i="4"/>
  <c r="L4" i="4"/>
  <c r="K11" i="4"/>
  <c r="J87" i="3"/>
  <c r="K74" i="3"/>
  <c r="K26" i="3"/>
  <c r="K31" i="3"/>
  <c r="K51" i="3"/>
  <c r="I89" i="3"/>
  <c r="K65" i="3"/>
  <c r="K82" i="3"/>
  <c r="K78" i="3"/>
  <c r="K19" i="5" l="1"/>
  <c r="L18" i="5"/>
  <c r="K71" i="5"/>
  <c r="K72" i="5" s="1"/>
  <c r="K86" i="5" s="1"/>
  <c r="K89" i="5" s="1"/>
  <c r="L83" i="5"/>
  <c r="L84" i="5" s="1"/>
  <c r="AQ62" i="5"/>
  <c r="AP65" i="5"/>
  <c r="L11" i="5"/>
  <c r="M18" i="5"/>
  <c r="M2" i="5"/>
  <c r="N4" i="5"/>
  <c r="L41" i="5"/>
  <c r="L65" i="5"/>
  <c r="M58" i="5"/>
  <c r="AJ93" i="5"/>
  <c r="J72" i="5"/>
  <c r="L7" i="5"/>
  <c r="G89" i="5"/>
  <c r="G87" i="5"/>
  <c r="H87" i="5" s="1"/>
  <c r="I87" i="5" s="1"/>
  <c r="J108" i="4"/>
  <c r="K78" i="4"/>
  <c r="K89" i="4"/>
  <c r="K90" i="4" s="1"/>
  <c r="K92" i="4" s="1"/>
  <c r="K95" i="4" s="1"/>
  <c r="K107" i="4" s="1"/>
  <c r="AI83" i="4"/>
  <c r="AI84" i="4" s="1"/>
  <c r="AJ82" i="4"/>
  <c r="AF72" i="4"/>
  <c r="AG65" i="4"/>
  <c r="AF68" i="4"/>
  <c r="I93" i="4"/>
  <c r="J93" i="4" s="1"/>
  <c r="L7" i="4"/>
  <c r="M4" i="4"/>
  <c r="L2" i="4"/>
  <c r="L11" i="4"/>
  <c r="K46" i="4"/>
  <c r="J96" i="4"/>
  <c r="I92" i="3"/>
  <c r="I91" i="3"/>
  <c r="I90" i="3"/>
  <c r="J89" i="3"/>
  <c r="L19" i="5" l="1"/>
  <c r="M19" i="5" s="1"/>
  <c r="L71" i="5"/>
  <c r="M7" i="5"/>
  <c r="N58" i="5"/>
  <c r="M65" i="5"/>
  <c r="AQ65" i="5"/>
  <c r="AR62" i="5"/>
  <c r="J86" i="5"/>
  <c r="J89" i="5" s="1"/>
  <c r="G90" i="5"/>
  <c r="M41" i="5"/>
  <c r="M84" i="5"/>
  <c r="M83" i="5"/>
  <c r="AK93" i="5"/>
  <c r="N2" i="5"/>
  <c r="O4" i="5"/>
  <c r="M11" i="5"/>
  <c r="K93" i="4"/>
  <c r="L46" i="4"/>
  <c r="K96" i="4"/>
  <c r="K108" i="4"/>
  <c r="AH65" i="4"/>
  <c r="AG68" i="4"/>
  <c r="AG72" i="4" s="1"/>
  <c r="M78" i="4"/>
  <c r="M2" i="4"/>
  <c r="N4" i="4"/>
  <c r="M11" i="4"/>
  <c r="M7" i="4"/>
  <c r="AJ83" i="4"/>
  <c r="AJ84" i="4" s="1"/>
  <c r="AK82" i="4"/>
  <c r="L78" i="4"/>
  <c r="L89" i="4"/>
  <c r="L90" i="4"/>
  <c r="D97" i="3"/>
  <c r="J90" i="3"/>
  <c r="D96" i="3"/>
  <c r="D95" i="3"/>
  <c r="J87" i="5" l="1"/>
  <c r="K87" i="5" s="1"/>
  <c r="N65" i="5"/>
  <c r="O58" i="5"/>
  <c r="N11" i="5"/>
  <c r="M71" i="5"/>
  <c r="M72" i="5" s="1"/>
  <c r="M86" i="5" s="1"/>
  <c r="M89" i="5" s="1"/>
  <c r="N7" i="5"/>
  <c r="N83" i="5"/>
  <c r="N84" i="5" s="1"/>
  <c r="N18" i="5"/>
  <c r="AS62" i="5"/>
  <c r="AR65" i="5"/>
  <c r="L72" i="5"/>
  <c r="O2" i="5"/>
  <c r="P4" i="5"/>
  <c r="AL93" i="5"/>
  <c r="H90" i="5"/>
  <c r="I90" i="5" s="1"/>
  <c r="J90" i="5" s="1"/>
  <c r="K90" i="5" s="1"/>
  <c r="N41" i="5"/>
  <c r="M46" i="4"/>
  <c r="M89" i="4"/>
  <c r="M90" i="4" s="1"/>
  <c r="M92" i="4" s="1"/>
  <c r="M95" i="4" s="1"/>
  <c r="M107" i="4" s="1"/>
  <c r="L92" i="4"/>
  <c r="L95" i="4" s="1"/>
  <c r="L107" i="4" s="1"/>
  <c r="L93" i="4"/>
  <c r="AK83" i="4"/>
  <c r="AK84" i="4" s="1"/>
  <c r="AL82" i="4"/>
  <c r="O4" i="4"/>
  <c r="N11" i="4"/>
  <c r="N7" i="4"/>
  <c r="N2" i="4"/>
  <c r="AI65" i="4"/>
  <c r="AH68" i="4"/>
  <c r="AH72" i="4" s="1"/>
  <c r="L108" i="4"/>
  <c r="F96" i="3"/>
  <c r="G96" i="3" s="1"/>
  <c r="N71" i="5" l="1"/>
  <c r="N72" i="5" s="1"/>
  <c r="N86" i="5" s="1"/>
  <c r="N89" i="5" s="1"/>
  <c r="AT62" i="5"/>
  <c r="AS65" i="5"/>
  <c r="N19" i="5"/>
  <c r="AM93" i="5"/>
  <c r="O11" i="5"/>
  <c r="O65" i="5"/>
  <c r="P58" i="5"/>
  <c r="O83" i="5"/>
  <c r="O84" i="5"/>
  <c r="O7" i="5"/>
  <c r="O18" i="5"/>
  <c r="L86" i="5"/>
  <c r="L89" i="5" s="1"/>
  <c r="O41" i="5"/>
  <c r="Q4" i="5"/>
  <c r="P2" i="5"/>
  <c r="N89" i="4"/>
  <c r="N90" i="4"/>
  <c r="AL84" i="4"/>
  <c r="AL83" i="4"/>
  <c r="AM82" i="4"/>
  <c r="L96" i="4"/>
  <c r="M96" i="4" s="1"/>
  <c r="N78" i="4"/>
  <c r="M93" i="4"/>
  <c r="N46" i="4"/>
  <c r="M108" i="4"/>
  <c r="P4" i="4"/>
  <c r="O2" i="4"/>
  <c r="O11" i="4"/>
  <c r="O7" i="4"/>
  <c r="AJ65" i="4"/>
  <c r="AI68" i="4"/>
  <c r="AI72" i="4" s="1"/>
  <c r="L90" i="5" l="1"/>
  <c r="R4" i="5"/>
  <c r="Q2" i="5"/>
  <c r="Q58" i="5"/>
  <c r="P65" i="5"/>
  <c r="AN93" i="5"/>
  <c r="P18" i="5"/>
  <c r="L87" i="5"/>
  <c r="M87" i="5" s="1"/>
  <c r="N87" i="5" s="1"/>
  <c r="O19" i="5"/>
  <c r="P19" i="5" s="1"/>
  <c r="P83" i="5"/>
  <c r="P84" i="5" s="1"/>
  <c r="P7" i="5"/>
  <c r="P11" i="5"/>
  <c r="AT65" i="5"/>
  <c r="AU62" i="5"/>
  <c r="P41" i="5"/>
  <c r="O71" i="5"/>
  <c r="O72" i="5" s="1"/>
  <c r="O86" i="5" s="1"/>
  <c r="O89" i="5" s="1"/>
  <c r="O89" i="4"/>
  <c r="O90" i="4"/>
  <c r="N92" i="4"/>
  <c r="N95" i="4" s="1"/>
  <c r="N107" i="4" s="1"/>
  <c r="N108" i="4" s="1"/>
  <c r="O46" i="4"/>
  <c r="Q4" i="4"/>
  <c r="P2" i="4"/>
  <c r="P11" i="4"/>
  <c r="P7" i="4"/>
  <c r="O78" i="4"/>
  <c r="N96" i="4"/>
  <c r="C97" i="4"/>
  <c r="AJ68" i="4"/>
  <c r="AJ72" i="4"/>
  <c r="AK65" i="4"/>
  <c r="AM83" i="4"/>
  <c r="AM84" i="4" s="1"/>
  <c r="AN82" i="4"/>
  <c r="Q18" i="5" l="1"/>
  <c r="Q19" i="5" s="1"/>
  <c r="P71" i="5"/>
  <c r="P72" i="5" s="1"/>
  <c r="P86" i="5" s="1"/>
  <c r="P89" i="5" s="1"/>
  <c r="Q7" i="5"/>
  <c r="S4" i="5"/>
  <c r="R2" i="5"/>
  <c r="AU65" i="5"/>
  <c r="AV62" i="5"/>
  <c r="Q65" i="5"/>
  <c r="R58" i="5"/>
  <c r="Q41" i="5"/>
  <c r="AO93" i="5"/>
  <c r="Q83" i="5"/>
  <c r="Q84" i="5" s="1"/>
  <c r="Q11" i="5"/>
  <c r="O87" i="5"/>
  <c r="M90" i="5"/>
  <c r="N90" i="5" s="1"/>
  <c r="O90" i="5" s="1"/>
  <c r="AN84" i="4"/>
  <c r="AN83" i="4"/>
  <c r="AO82" i="4"/>
  <c r="P78" i="4"/>
  <c r="O92" i="4"/>
  <c r="O95" i="4" s="1"/>
  <c r="O107" i="4" s="1"/>
  <c r="O108" i="4" s="1"/>
  <c r="P89" i="4"/>
  <c r="P90" i="4" s="1"/>
  <c r="P46" i="4"/>
  <c r="N93" i="4"/>
  <c r="O93" i="4" s="1"/>
  <c r="AK72" i="4"/>
  <c r="AK68" i="4"/>
  <c r="AL65" i="4"/>
  <c r="Q11" i="4"/>
  <c r="Q7" i="4"/>
  <c r="Q2" i="4"/>
  <c r="R4" i="4"/>
  <c r="P90" i="5" l="1"/>
  <c r="P87" i="5"/>
  <c r="R18" i="5"/>
  <c r="R19" i="5" s="1"/>
  <c r="Q71" i="5"/>
  <c r="Q72" i="5" s="1"/>
  <c r="Q86" i="5" s="1"/>
  <c r="R41" i="5"/>
  <c r="C91" i="5"/>
  <c r="R7" i="5"/>
  <c r="S58" i="5"/>
  <c r="R65" i="5"/>
  <c r="T4" i="5"/>
  <c r="S2" i="5"/>
  <c r="AP93" i="5"/>
  <c r="AW62" i="5"/>
  <c r="AV65" i="5"/>
  <c r="R83" i="5"/>
  <c r="R84" i="5" s="1"/>
  <c r="R11" i="5"/>
  <c r="P92" i="4"/>
  <c r="P95" i="4" s="1"/>
  <c r="P107" i="4" s="1"/>
  <c r="P108" i="4"/>
  <c r="R7" i="4"/>
  <c r="P93" i="4"/>
  <c r="AO83" i="4"/>
  <c r="AO84" i="4" s="1"/>
  <c r="AP82" i="4"/>
  <c r="R78" i="4"/>
  <c r="R2" i="4"/>
  <c r="R11" i="4"/>
  <c r="S4" i="4"/>
  <c r="Q46" i="4"/>
  <c r="Q89" i="4"/>
  <c r="Q90" i="4" s="1"/>
  <c r="Q92" i="4" s="1"/>
  <c r="Q95" i="4" s="1"/>
  <c r="Q107" i="4" s="1"/>
  <c r="AM65" i="4"/>
  <c r="AL68" i="4"/>
  <c r="AL72" i="4" s="1"/>
  <c r="Q78" i="4"/>
  <c r="O96" i="4"/>
  <c r="P96" i="4" s="1"/>
  <c r="Q89" i="5" l="1"/>
  <c r="Q87" i="5"/>
  <c r="S11" i="5"/>
  <c r="R71" i="5"/>
  <c r="R72" i="5" s="1"/>
  <c r="R86" i="5" s="1"/>
  <c r="AQ93" i="5"/>
  <c r="S41" i="5"/>
  <c r="S7" i="5"/>
  <c r="S83" i="5"/>
  <c r="S84" i="5" s="1"/>
  <c r="AW65" i="5"/>
  <c r="AX62" i="5"/>
  <c r="Q90" i="5"/>
  <c r="S18" i="5"/>
  <c r="S19" i="5" s="1"/>
  <c r="S65" i="5"/>
  <c r="T58" i="5"/>
  <c r="T2" i="5"/>
  <c r="U4" i="5"/>
  <c r="R46" i="4"/>
  <c r="Q93" i="4"/>
  <c r="S78" i="4"/>
  <c r="S2" i="4"/>
  <c r="T4" i="4"/>
  <c r="S11" i="4"/>
  <c r="Q108" i="4"/>
  <c r="Q96" i="4"/>
  <c r="S7" i="4"/>
  <c r="AN65" i="4"/>
  <c r="AM68" i="4"/>
  <c r="AM72" i="4" s="1"/>
  <c r="R89" i="4"/>
  <c r="R90" i="4" s="1"/>
  <c r="AP83" i="4"/>
  <c r="AP84" i="4" s="1"/>
  <c r="AQ82" i="4"/>
  <c r="S71" i="5" l="1"/>
  <c r="S72" i="5" s="1"/>
  <c r="S86" i="5" s="1"/>
  <c r="S89" i="5" s="1"/>
  <c r="R89" i="5"/>
  <c r="R87" i="5"/>
  <c r="U2" i="5"/>
  <c r="V4" i="5"/>
  <c r="U58" i="5"/>
  <c r="T65" i="5"/>
  <c r="AR93" i="5"/>
  <c r="T7" i="5"/>
  <c r="T41" i="5"/>
  <c r="T11" i="5"/>
  <c r="T18" i="5"/>
  <c r="T83" i="5"/>
  <c r="T84" i="5"/>
  <c r="AY62" i="5"/>
  <c r="AX65" i="5"/>
  <c r="T11" i="4"/>
  <c r="R92" i="4"/>
  <c r="R95" i="4" s="1"/>
  <c r="R107" i="4" s="1"/>
  <c r="S46" i="4"/>
  <c r="T78" i="4"/>
  <c r="T7" i="4"/>
  <c r="T2" i="4"/>
  <c r="U4" i="4"/>
  <c r="S89" i="4"/>
  <c r="S90" i="4"/>
  <c r="AO65" i="4"/>
  <c r="AN68" i="4"/>
  <c r="AN72" i="4" s="1"/>
  <c r="R93" i="4"/>
  <c r="R96" i="4"/>
  <c r="AQ83" i="4"/>
  <c r="AQ84" i="4" s="1"/>
  <c r="AR82" i="4"/>
  <c r="R108" i="4"/>
  <c r="AY65" i="5" l="1"/>
  <c r="AZ62" i="5"/>
  <c r="U7" i="5"/>
  <c r="T71" i="5"/>
  <c r="T72" i="5" s="1"/>
  <c r="T86" i="5" s="1"/>
  <c r="T89" i="5" s="1"/>
  <c r="U11" i="5"/>
  <c r="AS93" i="5"/>
  <c r="U41" i="5"/>
  <c r="R90" i="5"/>
  <c r="S90" i="5" s="1"/>
  <c r="U18" i="5"/>
  <c r="U19" i="5"/>
  <c r="U65" i="5"/>
  <c r="V58" i="5"/>
  <c r="U83" i="5"/>
  <c r="U84" i="5" s="1"/>
  <c r="V2" i="5"/>
  <c r="W4" i="5"/>
  <c r="S87" i="5"/>
  <c r="T19" i="5"/>
  <c r="S96" i="4"/>
  <c r="T46" i="4"/>
  <c r="S92" i="4"/>
  <c r="S95" i="4" s="1"/>
  <c r="S107" i="4" s="1"/>
  <c r="S108" i="4" s="1"/>
  <c r="T108" i="4" s="1"/>
  <c r="S93" i="4"/>
  <c r="T89" i="4"/>
  <c r="T90" i="4"/>
  <c r="T92" i="4" s="1"/>
  <c r="T95" i="4" s="1"/>
  <c r="T107" i="4" s="1"/>
  <c r="AP65" i="4"/>
  <c r="AO68" i="4"/>
  <c r="AO72" i="4"/>
  <c r="AR83" i="4"/>
  <c r="AR84" i="4" s="1"/>
  <c r="AS82" i="4"/>
  <c r="U2" i="4"/>
  <c r="V4" i="4"/>
  <c r="U11" i="4"/>
  <c r="U7" i="4"/>
  <c r="V18" i="5" l="1"/>
  <c r="T87" i="5"/>
  <c r="U71" i="5"/>
  <c r="U72" i="5" s="1"/>
  <c r="U86" i="5" s="1"/>
  <c r="U89" i="5" s="1"/>
  <c r="V41" i="5"/>
  <c r="W30" i="5"/>
  <c r="W2" i="5"/>
  <c r="X4" i="5"/>
  <c r="V7" i="5"/>
  <c r="W58" i="5"/>
  <c r="V65" i="5"/>
  <c r="AT93" i="5"/>
  <c r="AZ65" i="5"/>
  <c r="BK62" i="5"/>
  <c r="V19" i="5"/>
  <c r="V11" i="5"/>
  <c r="V83" i="5"/>
  <c r="V84" i="5" s="1"/>
  <c r="T90" i="5"/>
  <c r="U89" i="4"/>
  <c r="U90" i="4"/>
  <c r="AS83" i="4"/>
  <c r="AS84" i="4" s="1"/>
  <c r="AT82" i="4"/>
  <c r="V78" i="4"/>
  <c r="W4" i="4"/>
  <c r="V11" i="4"/>
  <c r="V7" i="4"/>
  <c r="V2" i="4"/>
  <c r="U78" i="4"/>
  <c r="T93" i="4"/>
  <c r="AQ65" i="4"/>
  <c r="AP68" i="4"/>
  <c r="AP72" i="4" s="1"/>
  <c r="T96" i="4"/>
  <c r="U46" i="4"/>
  <c r="U90" i="5" l="1"/>
  <c r="V71" i="5"/>
  <c r="V72" i="5" s="1"/>
  <c r="V86" i="5" s="1"/>
  <c r="V89" i="5" s="1"/>
  <c r="U87" i="5"/>
  <c r="W83" i="5"/>
  <c r="W84" i="5"/>
  <c r="Y4" i="5"/>
  <c r="X2" i="5"/>
  <c r="W41" i="5"/>
  <c r="W11" i="5"/>
  <c r="AU93" i="5"/>
  <c r="W18" i="5"/>
  <c r="W19" i="5" s="1"/>
  <c r="W7" i="5"/>
  <c r="W65" i="5"/>
  <c r="X58" i="5"/>
  <c r="AR65" i="4"/>
  <c r="AQ68" i="4"/>
  <c r="AQ72" i="4"/>
  <c r="U92" i="4"/>
  <c r="U95" i="4" s="1"/>
  <c r="U107" i="4" s="1"/>
  <c r="U108" i="4" s="1"/>
  <c r="U93" i="4"/>
  <c r="X4" i="4"/>
  <c r="W7" i="4"/>
  <c r="W11" i="4"/>
  <c r="W2" i="4"/>
  <c r="V46" i="4"/>
  <c r="V89" i="4"/>
  <c r="V90" i="4"/>
  <c r="U96" i="4"/>
  <c r="AU82" i="4"/>
  <c r="AT83" i="4"/>
  <c r="AT84" i="4" s="1"/>
  <c r="W71" i="5" l="1"/>
  <c r="W72" i="5" s="1"/>
  <c r="W86" i="5" s="1"/>
  <c r="W89" i="5" s="1"/>
  <c r="V90" i="5"/>
  <c r="Y58" i="5"/>
  <c r="X65" i="5"/>
  <c r="AV93" i="5"/>
  <c r="X41" i="5"/>
  <c r="Z4" i="5"/>
  <c r="Y2" i="5"/>
  <c r="X83" i="5"/>
  <c r="X84" i="5"/>
  <c r="V87" i="5"/>
  <c r="X7" i="5"/>
  <c r="X11" i="5"/>
  <c r="X18" i="5"/>
  <c r="X19" i="5" s="1"/>
  <c r="V93" i="4"/>
  <c r="V108" i="4"/>
  <c r="W46" i="4"/>
  <c r="AR68" i="4"/>
  <c r="AR72" i="4" s="1"/>
  <c r="AS65" i="4"/>
  <c r="V92" i="4"/>
  <c r="V95" i="4" s="1"/>
  <c r="V107" i="4" s="1"/>
  <c r="W78" i="4"/>
  <c r="V96" i="4"/>
  <c r="AU84" i="4"/>
  <c r="AU83" i="4"/>
  <c r="AV82" i="4"/>
  <c r="Y4" i="4"/>
  <c r="X11" i="4"/>
  <c r="X7" i="4"/>
  <c r="X2" i="4"/>
  <c r="W89" i="4"/>
  <c r="W90" i="4" s="1"/>
  <c r="W92" i="4" s="1"/>
  <c r="W95" i="4" s="1"/>
  <c r="W107" i="4" s="1"/>
  <c r="W87" i="5" l="1"/>
  <c r="AA4" i="5"/>
  <c r="Z2" i="5"/>
  <c r="X71" i="5"/>
  <c r="X72" i="5" s="1"/>
  <c r="X86" i="5" s="1"/>
  <c r="Y11" i="5"/>
  <c r="Y41" i="5"/>
  <c r="AW93" i="5"/>
  <c r="W90" i="5"/>
  <c r="Y7" i="5"/>
  <c r="Y18" i="5"/>
  <c r="Y19" i="5" s="1"/>
  <c r="Y65" i="5"/>
  <c r="Z58" i="5"/>
  <c r="Y83" i="5"/>
  <c r="Y84" i="5" s="1"/>
  <c r="AV83" i="4"/>
  <c r="AV84" i="4" s="1"/>
  <c r="AW82" i="4"/>
  <c r="W96" i="4"/>
  <c r="W108" i="4"/>
  <c r="W93" i="4"/>
  <c r="X46" i="4"/>
  <c r="X78" i="4"/>
  <c r="AS68" i="4"/>
  <c r="AS72" i="4" s="1"/>
  <c r="AT65" i="4"/>
  <c r="Y78" i="4"/>
  <c r="Y11" i="4"/>
  <c r="Y2" i="4"/>
  <c r="Y7" i="4"/>
  <c r="Z4" i="4"/>
  <c r="X89" i="4"/>
  <c r="X90" i="4" s="1"/>
  <c r="X92" i="4" s="1"/>
  <c r="X95" i="4" s="1"/>
  <c r="X107" i="4" s="1"/>
  <c r="Y71" i="5" l="1"/>
  <c r="Y72" i="5" s="1"/>
  <c r="Y86" i="5" s="1"/>
  <c r="Y89" i="5" s="1"/>
  <c r="X89" i="5"/>
  <c r="X90" i="5" s="1"/>
  <c r="X87" i="5"/>
  <c r="Z7" i="5"/>
  <c r="Z83" i="5"/>
  <c r="Z84" i="5" s="1"/>
  <c r="Z18" i="5"/>
  <c r="Z19" i="5" s="1"/>
  <c r="Z41" i="5"/>
  <c r="AX93" i="5"/>
  <c r="AA58" i="5"/>
  <c r="Z65" i="5"/>
  <c r="Z11" i="5"/>
  <c r="AA2" i="5"/>
  <c r="AB4" i="5"/>
  <c r="AU65" i="4"/>
  <c r="AT68" i="4"/>
  <c r="AT72" i="4" s="1"/>
  <c r="X96" i="4"/>
  <c r="AW84" i="4"/>
  <c r="AW83" i="4"/>
  <c r="AX82" i="4"/>
  <c r="Y89" i="4"/>
  <c r="Y90" i="4" s="1"/>
  <c r="Y92" i="4" s="1"/>
  <c r="Y95" i="4" s="1"/>
  <c r="Y107" i="4" s="1"/>
  <c r="X108" i="4"/>
  <c r="Y46" i="4"/>
  <c r="Z11" i="4"/>
  <c r="Z7" i="4"/>
  <c r="Z2" i="4"/>
  <c r="AA4" i="4"/>
  <c r="X93" i="4"/>
  <c r="Z71" i="5" l="1"/>
  <c r="Z72" i="5" s="1"/>
  <c r="Z86" i="5" s="1"/>
  <c r="Z89" i="5" s="1"/>
  <c r="AB2" i="5"/>
  <c r="AC4" i="5"/>
  <c r="AB58" i="5"/>
  <c r="AA65" i="5"/>
  <c r="AY93" i="5"/>
  <c r="AZ93" i="5" s="1"/>
  <c r="BA93" i="5" s="1"/>
  <c r="AA11" i="5"/>
  <c r="Y90" i="5"/>
  <c r="AA41" i="5"/>
  <c r="Y87" i="5"/>
  <c r="AA7" i="5"/>
  <c r="AA83" i="5"/>
  <c r="AA84" i="5"/>
  <c r="AA18" i="5"/>
  <c r="Z89" i="4"/>
  <c r="Z90" i="4" s="1"/>
  <c r="Z92" i="4" s="1"/>
  <c r="Z95" i="4" s="1"/>
  <c r="Z107" i="4" s="1"/>
  <c r="AA78" i="4"/>
  <c r="AA7" i="4"/>
  <c r="AA2" i="4"/>
  <c r="AB4" i="4"/>
  <c r="AA11" i="4"/>
  <c r="Y96" i="4"/>
  <c r="Y108" i="4"/>
  <c r="AV65" i="4"/>
  <c r="AU68" i="4"/>
  <c r="AU72" i="4" s="1"/>
  <c r="Y93" i="4"/>
  <c r="Z46" i="4"/>
  <c r="AX83" i="4"/>
  <c r="AX84" i="4" s="1"/>
  <c r="AY82" i="4"/>
  <c r="Z78" i="4"/>
  <c r="Z87" i="5" l="1"/>
  <c r="AA86" i="5"/>
  <c r="AA89" i="5" s="1"/>
  <c r="AA71" i="5"/>
  <c r="AA72" i="5" s="1"/>
  <c r="Z90" i="5"/>
  <c r="AB41" i="5"/>
  <c r="AB11" i="5"/>
  <c r="AB65" i="5"/>
  <c r="AC58" i="5"/>
  <c r="AA19" i="5"/>
  <c r="AB19" i="5" s="1"/>
  <c r="AB18" i="5"/>
  <c r="AB83" i="5"/>
  <c r="AB84" i="5" s="1"/>
  <c r="AC18" i="5"/>
  <c r="AC2" i="5"/>
  <c r="AD4" i="5"/>
  <c r="AB7" i="5"/>
  <c r="AA46" i="4"/>
  <c r="AA89" i="4"/>
  <c r="AA90" i="4" s="1"/>
  <c r="AA92" i="4" s="1"/>
  <c r="AA95" i="4" s="1"/>
  <c r="AA107" i="4" s="1"/>
  <c r="AB78" i="4"/>
  <c r="AB7" i="4"/>
  <c r="AB2" i="4"/>
  <c r="AC4" i="4"/>
  <c r="AB11" i="4"/>
  <c r="Z93" i="4"/>
  <c r="AW65" i="4"/>
  <c r="AV68" i="4"/>
  <c r="AV72" i="4" s="1"/>
  <c r="AY83" i="4"/>
  <c r="AY84" i="4" s="1"/>
  <c r="AZ82" i="4"/>
  <c r="Z108" i="4"/>
  <c r="Z96" i="4"/>
  <c r="AB71" i="5" l="1"/>
  <c r="AB72" i="5" s="1"/>
  <c r="AB86" i="5"/>
  <c r="AB89" i="5" s="1"/>
  <c r="AC19" i="5"/>
  <c r="AA90" i="5"/>
  <c r="AC7" i="5"/>
  <c r="AD58" i="5"/>
  <c r="AC65" i="5"/>
  <c r="AD2" i="5"/>
  <c r="AE4" i="5"/>
  <c r="AC11" i="5"/>
  <c r="AA87" i="5"/>
  <c r="AC83" i="5"/>
  <c r="AC84" i="5" s="1"/>
  <c r="AC41" i="5"/>
  <c r="AB89" i="4"/>
  <c r="AB90" i="4"/>
  <c r="AC2" i="4"/>
  <c r="AC11" i="4"/>
  <c r="AD4" i="4"/>
  <c r="AC7" i="4"/>
  <c r="AA96" i="4"/>
  <c r="AA93" i="4"/>
  <c r="AX65" i="4"/>
  <c r="AW68" i="4"/>
  <c r="AW72" i="4"/>
  <c r="AB46" i="4"/>
  <c r="AA108" i="4"/>
  <c r="AZ83" i="4"/>
  <c r="AZ84" i="4" s="1"/>
  <c r="BA82" i="4"/>
  <c r="AC71" i="5" l="1"/>
  <c r="AC72" i="5" s="1"/>
  <c r="AC86" i="5" s="1"/>
  <c r="AC89" i="5" s="1"/>
  <c r="AB90" i="5"/>
  <c r="AB87" i="5"/>
  <c r="AD83" i="5"/>
  <c r="AD84" i="5" s="1"/>
  <c r="AD18" i="5"/>
  <c r="AD19" i="5" s="1"/>
  <c r="AE58" i="5"/>
  <c r="AD65" i="5"/>
  <c r="AD7" i="5"/>
  <c r="AD11" i="5"/>
  <c r="AD41" i="5"/>
  <c r="AE2" i="5"/>
  <c r="AF4" i="5"/>
  <c r="AC18" i="4"/>
  <c r="AC46" i="4"/>
  <c r="AC89" i="4"/>
  <c r="AC90" i="4"/>
  <c r="AB92" i="4"/>
  <c r="AB95" i="4" s="1"/>
  <c r="AB107" i="4" s="1"/>
  <c r="AB108" i="4"/>
  <c r="AE4" i="4"/>
  <c r="AD18" i="4"/>
  <c r="AD11" i="4"/>
  <c r="AD7" i="4"/>
  <c r="AD2" i="4"/>
  <c r="AC78" i="4"/>
  <c r="BA84" i="4"/>
  <c r="BA83" i="4"/>
  <c r="BB82" i="4"/>
  <c r="AY65" i="4"/>
  <c r="AX68" i="4"/>
  <c r="AX72" i="4"/>
  <c r="AB93" i="4"/>
  <c r="AB96" i="4"/>
  <c r="AC87" i="5" l="1"/>
  <c r="AC90" i="5"/>
  <c r="AD71" i="5"/>
  <c r="AD72" i="5" s="1"/>
  <c r="AD86" i="5" s="1"/>
  <c r="AE7" i="5"/>
  <c r="AE83" i="5"/>
  <c r="AE84" i="5" s="1"/>
  <c r="AE41" i="5"/>
  <c r="AE65" i="5"/>
  <c r="AF58" i="5"/>
  <c r="AG4" i="5"/>
  <c r="AF2" i="5"/>
  <c r="AE18" i="5"/>
  <c r="AE19" i="5" s="1"/>
  <c r="AE11" i="5"/>
  <c r="AD46" i="4"/>
  <c r="AC92" i="4"/>
  <c r="AD78" i="4"/>
  <c r="AE7" i="4"/>
  <c r="AF4" i="4"/>
  <c r="AE11" i="4"/>
  <c r="AE2" i="4"/>
  <c r="AC95" i="4"/>
  <c r="AC107" i="4" s="1"/>
  <c r="AC108" i="4" s="1"/>
  <c r="AC19" i="4"/>
  <c r="AD19" i="4" s="1"/>
  <c r="AD89" i="4"/>
  <c r="AD90" i="4"/>
  <c r="AZ65" i="4"/>
  <c r="AY68" i="4"/>
  <c r="AY72" i="4"/>
  <c r="AC93" i="4"/>
  <c r="BC82" i="4"/>
  <c r="BB83" i="4"/>
  <c r="BB84" i="4" s="1"/>
  <c r="AF18" i="5" l="1"/>
  <c r="AF19" i="5"/>
  <c r="AE71" i="5"/>
  <c r="AE72" i="5" s="1"/>
  <c r="AE86" i="5" s="1"/>
  <c r="AE89" i="5" s="1"/>
  <c r="AD89" i="5"/>
  <c r="AD87" i="5"/>
  <c r="AF65" i="5"/>
  <c r="AG58" i="5"/>
  <c r="AH4" i="5"/>
  <c r="AG2" i="5"/>
  <c r="AF11" i="5"/>
  <c r="AF83" i="5"/>
  <c r="AF84" i="5" s="1"/>
  <c r="AF41" i="5"/>
  <c r="AF7" i="5"/>
  <c r="AE46" i="4"/>
  <c r="AD92" i="4"/>
  <c r="AD95" i="4" s="1"/>
  <c r="AD107" i="4" s="1"/>
  <c r="AD108" i="4" s="1"/>
  <c r="BC84" i="4"/>
  <c r="BC83" i="4"/>
  <c r="BD82" i="4"/>
  <c r="AG4" i="4"/>
  <c r="AF18" i="4"/>
  <c r="AF11" i="4"/>
  <c r="AF7" i="4"/>
  <c r="AF2" i="4"/>
  <c r="AE78" i="4"/>
  <c r="AC96" i="4"/>
  <c r="AE18" i="4"/>
  <c r="AE19" i="4" s="1"/>
  <c r="AF19" i="4" s="1"/>
  <c r="AE89" i="4"/>
  <c r="AE90" i="4" s="1"/>
  <c r="AE92" i="4" s="1"/>
  <c r="AZ68" i="4"/>
  <c r="AZ72" i="4"/>
  <c r="BA65" i="4"/>
  <c r="AF71" i="5" l="1"/>
  <c r="AF72" i="5" s="1"/>
  <c r="AF86" i="5" s="1"/>
  <c r="AF89" i="5" s="1"/>
  <c r="AG11" i="5"/>
  <c r="AG65" i="5"/>
  <c r="AH58" i="5"/>
  <c r="AG83" i="5"/>
  <c r="AG84" i="5" s="1"/>
  <c r="AG7" i="5"/>
  <c r="AE87" i="5"/>
  <c r="AD90" i="5"/>
  <c r="AE90" i="5" s="1"/>
  <c r="AG41" i="5"/>
  <c r="AG18" i="5"/>
  <c r="AI4" i="5"/>
  <c r="AH2" i="5"/>
  <c r="AG7" i="4"/>
  <c r="AD96" i="4"/>
  <c r="AC97" i="4"/>
  <c r="BA68" i="4"/>
  <c r="BA72" i="4" s="1"/>
  <c r="BB65" i="4"/>
  <c r="AF78" i="4"/>
  <c r="AG18" i="4"/>
  <c r="AG11" i="4"/>
  <c r="AG2" i="4"/>
  <c r="AH4" i="4"/>
  <c r="AF89" i="4"/>
  <c r="AF90" i="4"/>
  <c r="AF46" i="4"/>
  <c r="AD93" i="4"/>
  <c r="AE93" i="4" s="1"/>
  <c r="BD83" i="4"/>
  <c r="BL83" i="4" s="1"/>
  <c r="BL82" i="4"/>
  <c r="AE95" i="4"/>
  <c r="AE107" i="4" s="1"/>
  <c r="AE108" i="4" s="1"/>
  <c r="AH65" i="5" l="1"/>
  <c r="BK65" i="5" s="1"/>
  <c r="BK58" i="5"/>
  <c r="AH41" i="5"/>
  <c r="AG19" i="5"/>
  <c r="AG71" i="5"/>
  <c r="AG72" i="5" s="1"/>
  <c r="AG86" i="5" s="1"/>
  <c r="AG89" i="5" s="1"/>
  <c r="AF90" i="5"/>
  <c r="AH11" i="5"/>
  <c r="AH18" i="5"/>
  <c r="AJ4" i="5"/>
  <c r="AI2" i="5"/>
  <c r="AF87" i="5"/>
  <c r="AH83" i="5"/>
  <c r="AH84" i="5" s="1"/>
  <c r="AH7" i="5"/>
  <c r="AF92" i="4"/>
  <c r="AF95" i="4" s="1"/>
  <c r="AF107" i="4" s="1"/>
  <c r="AF108" i="4" s="1"/>
  <c r="AG46" i="4"/>
  <c r="AI4" i="4"/>
  <c r="AH7" i="4"/>
  <c r="AH2" i="4"/>
  <c r="AH11" i="4"/>
  <c r="AH78" i="4"/>
  <c r="AG89" i="4"/>
  <c r="AG90" i="4" s="1"/>
  <c r="AG92" i="4" s="1"/>
  <c r="AG95" i="4" s="1"/>
  <c r="AG107" i="4" s="1"/>
  <c r="AG78" i="4"/>
  <c r="AE96" i="4"/>
  <c r="AD97" i="4"/>
  <c r="BD84" i="4"/>
  <c r="BL84" i="4" s="1"/>
  <c r="BN84" i="4" s="1"/>
  <c r="AF93" i="4"/>
  <c r="BC65" i="4"/>
  <c r="BB68" i="4"/>
  <c r="BB72" i="4" s="1"/>
  <c r="AG19" i="4"/>
  <c r="AH19" i="5" l="1"/>
  <c r="AG87" i="5"/>
  <c r="AI83" i="5"/>
  <c r="AI84" i="5" s="1"/>
  <c r="AJ2" i="5"/>
  <c r="AK4" i="5"/>
  <c r="AI11" i="5"/>
  <c r="AI7" i="5"/>
  <c r="AI18" i="5"/>
  <c r="AI19" i="5" s="1"/>
  <c r="AI41" i="5"/>
  <c r="AG90" i="5"/>
  <c r="AH71" i="5"/>
  <c r="AH72" i="5" s="1"/>
  <c r="AH86" i="5" s="1"/>
  <c r="AG108" i="4"/>
  <c r="AH89" i="4"/>
  <c r="AH90" i="4" s="1"/>
  <c r="AH92" i="4" s="1"/>
  <c r="AF96" i="4"/>
  <c r="AE97" i="4"/>
  <c r="BD65" i="4"/>
  <c r="BC68" i="4"/>
  <c r="BC72" i="4" s="1"/>
  <c r="AH46" i="4"/>
  <c r="AH19" i="4"/>
  <c r="AG93" i="4"/>
  <c r="AH18" i="4"/>
  <c r="AJ4" i="4"/>
  <c r="AI11" i="4"/>
  <c r="AI7" i="4"/>
  <c r="AI2" i="4"/>
  <c r="AH89" i="5" l="1"/>
  <c r="AH87" i="5"/>
  <c r="AI71" i="5"/>
  <c r="AI72" i="5" s="1"/>
  <c r="AI86" i="5" s="1"/>
  <c r="AH90" i="5"/>
  <c r="AJ18" i="5"/>
  <c r="AJ83" i="5"/>
  <c r="AJ84" i="5" s="1"/>
  <c r="AJ7" i="5"/>
  <c r="AK18" i="5"/>
  <c r="AK2" i="5"/>
  <c r="AL4" i="5"/>
  <c r="AJ11" i="5"/>
  <c r="AJ41" i="5"/>
  <c r="AH95" i="4"/>
  <c r="AH107" i="4" s="1"/>
  <c r="AH93" i="4"/>
  <c r="AG96" i="4"/>
  <c r="AF97" i="4"/>
  <c r="AI19" i="4"/>
  <c r="AI18" i="4"/>
  <c r="AJ7" i="4"/>
  <c r="AK4" i="4"/>
  <c r="AJ2" i="4"/>
  <c r="AJ11" i="4"/>
  <c r="AI46" i="4"/>
  <c r="AH108" i="4"/>
  <c r="BD72" i="4"/>
  <c r="BE65" i="4"/>
  <c r="BD68" i="4"/>
  <c r="AI78" i="4"/>
  <c r="AI89" i="4"/>
  <c r="AI90" i="4"/>
  <c r="AJ71" i="5" l="1"/>
  <c r="AJ72" i="5" s="1"/>
  <c r="AJ86" i="5" s="1"/>
  <c r="AJ89" i="5" s="1"/>
  <c r="AI87" i="5"/>
  <c r="AI89" i="5"/>
  <c r="AI90" i="5" s="1"/>
  <c r="AK11" i="5"/>
  <c r="AK84" i="5"/>
  <c r="AK83" i="5"/>
  <c r="AL2" i="5"/>
  <c r="AM4" i="5"/>
  <c r="AK7" i="5"/>
  <c r="AK41" i="5"/>
  <c r="AJ19" i="5"/>
  <c r="AK19" i="5" s="1"/>
  <c r="AH96" i="4"/>
  <c r="AG97" i="4"/>
  <c r="AI92" i="4"/>
  <c r="AI93" i="4" s="1"/>
  <c r="AK2" i="4"/>
  <c r="AL4" i="4"/>
  <c r="AK18" i="4"/>
  <c r="AK11" i="4"/>
  <c r="AK7" i="4"/>
  <c r="AJ46" i="4"/>
  <c r="AJ18" i="4"/>
  <c r="AJ19" i="4" s="1"/>
  <c r="AK19" i="4" s="1"/>
  <c r="AJ89" i="4"/>
  <c r="AJ90" i="4"/>
  <c r="AJ78" i="4"/>
  <c r="BF65" i="4"/>
  <c r="BE68" i="4"/>
  <c r="BE72" i="4"/>
  <c r="AL7" i="5" l="1"/>
  <c r="AL11" i="5"/>
  <c r="AL83" i="5"/>
  <c r="AL84" i="5" s="1"/>
  <c r="AJ90" i="5"/>
  <c r="AJ87" i="5"/>
  <c r="AM2" i="5"/>
  <c r="AN4" i="5"/>
  <c r="AL41" i="5"/>
  <c r="AK71" i="5"/>
  <c r="AK72" i="5" s="1"/>
  <c r="AK86" i="5" s="1"/>
  <c r="AK89" i="5" s="1"/>
  <c r="AL18" i="5"/>
  <c r="AL19" i="5" s="1"/>
  <c r="AK78" i="4"/>
  <c r="AI95" i="4"/>
  <c r="AI107" i="4" s="1"/>
  <c r="AI108" i="4" s="1"/>
  <c r="AM4" i="4"/>
  <c r="AL11" i="4"/>
  <c r="AL7" i="4"/>
  <c r="AL2" i="4"/>
  <c r="AH97" i="4"/>
  <c r="AJ92" i="4"/>
  <c r="AJ93" i="4" s="1"/>
  <c r="AK93" i="4" s="1"/>
  <c r="BG65" i="4"/>
  <c r="BF68" i="4"/>
  <c r="BF72" i="4" s="1"/>
  <c r="AK46" i="4"/>
  <c r="AK89" i="4"/>
  <c r="AK90" i="4"/>
  <c r="AK92" i="4" s="1"/>
  <c r="AK95" i="4" s="1"/>
  <c r="AK107" i="4" s="1"/>
  <c r="AM83" i="5" l="1"/>
  <c r="AM84" i="5" s="1"/>
  <c r="AM11" i="5"/>
  <c r="AM18" i="5"/>
  <c r="AM41" i="5"/>
  <c r="AK87" i="5"/>
  <c r="AO4" i="5"/>
  <c r="AN2" i="5"/>
  <c r="AM19" i="5"/>
  <c r="AK90" i="5"/>
  <c r="AL71" i="5"/>
  <c r="AL72" i="5" s="1"/>
  <c r="AL86" i="5"/>
  <c r="AM7" i="5"/>
  <c r="AL89" i="5"/>
  <c r="AM7" i="4"/>
  <c r="BH65" i="4"/>
  <c r="BG68" i="4"/>
  <c r="BG72" i="4" s="1"/>
  <c r="AJ95" i="4"/>
  <c r="AJ107" i="4" s="1"/>
  <c r="AJ108" i="4" s="1"/>
  <c r="AK108" i="4" s="1"/>
  <c r="AL78" i="4"/>
  <c r="AL18" i="4"/>
  <c r="AI96" i="4"/>
  <c r="AN4" i="4"/>
  <c r="AM2" i="4"/>
  <c r="AM11" i="4"/>
  <c r="AL46" i="4"/>
  <c r="AL89" i="4"/>
  <c r="AL90" i="4" s="1"/>
  <c r="AL92" i="4" s="1"/>
  <c r="AL93" i="4" s="1"/>
  <c r="AN41" i="5" l="1"/>
  <c r="AL87" i="5"/>
  <c r="AN7" i="5"/>
  <c r="AP4" i="5"/>
  <c r="AO2" i="5"/>
  <c r="AN11" i="5"/>
  <c r="AN83" i="5"/>
  <c r="AN84" i="5" s="1"/>
  <c r="AM71" i="5"/>
  <c r="AM72" i="5" s="1"/>
  <c r="AM86" i="5" s="1"/>
  <c r="AM89" i="5" s="1"/>
  <c r="AL90" i="5"/>
  <c r="AN18" i="5"/>
  <c r="AM18" i="4"/>
  <c r="AN7" i="4"/>
  <c r="AM46" i="4"/>
  <c r="AN78" i="4"/>
  <c r="AO4" i="4"/>
  <c r="AN2" i="4"/>
  <c r="AN18" i="4"/>
  <c r="AN11" i="4"/>
  <c r="AM78" i="4"/>
  <c r="AM89" i="4"/>
  <c r="AM90" i="4"/>
  <c r="AM92" i="4" s="1"/>
  <c r="AM93" i="4" s="1"/>
  <c r="AI97" i="4"/>
  <c r="AJ96" i="4"/>
  <c r="AK96" i="4" s="1"/>
  <c r="BH68" i="4"/>
  <c r="BH72" i="4"/>
  <c r="BI65" i="4"/>
  <c r="AL95" i="4"/>
  <c r="AL107" i="4" s="1"/>
  <c r="AL108" i="4" s="1"/>
  <c r="AL19" i="4"/>
  <c r="AM19" i="4" s="1"/>
  <c r="AO11" i="5" l="1"/>
  <c r="AN19" i="5"/>
  <c r="AO83" i="5"/>
  <c r="AO84" i="5" s="1"/>
  <c r="AO7" i="5"/>
  <c r="AN71" i="5"/>
  <c r="AN72" i="5" s="1"/>
  <c r="AN86" i="5" s="1"/>
  <c r="AN89" i="5" s="1"/>
  <c r="AO41" i="5"/>
  <c r="AM90" i="5"/>
  <c r="AO18" i="5"/>
  <c r="AM87" i="5"/>
  <c r="AQ4" i="5"/>
  <c r="AP2" i="5"/>
  <c r="AO11" i="4"/>
  <c r="AO2" i="4"/>
  <c r="AO7" i="4"/>
  <c r="AP4" i="4"/>
  <c r="AL96" i="4"/>
  <c r="AM96" i="4" s="1"/>
  <c r="AM95" i="4"/>
  <c r="AM107" i="4" s="1"/>
  <c r="AM108" i="4" s="1"/>
  <c r="AN19" i="4"/>
  <c r="BI68" i="4"/>
  <c r="BL68" i="4" s="1"/>
  <c r="BL65" i="4"/>
  <c r="AN46" i="4"/>
  <c r="AN89" i="4"/>
  <c r="AN90" i="4"/>
  <c r="AN87" i="5" l="1"/>
  <c r="AO19" i="5"/>
  <c r="AO71" i="5"/>
  <c r="AO72" i="5" s="1"/>
  <c r="AO86" i="5" s="1"/>
  <c r="AN90" i="5"/>
  <c r="AQ2" i="5"/>
  <c r="AR4" i="5"/>
  <c r="AP83" i="5"/>
  <c r="AP84" i="5" s="1"/>
  <c r="AP11" i="5"/>
  <c r="AP18" i="5"/>
  <c r="AP19" i="5" s="1"/>
  <c r="AP41" i="5"/>
  <c r="AP7" i="5"/>
  <c r="BL40" i="4"/>
  <c r="AP7" i="4"/>
  <c r="AP2" i="4"/>
  <c r="AQ4" i="4"/>
  <c r="AP11" i="4"/>
  <c r="AP78" i="4"/>
  <c r="BI72" i="4"/>
  <c r="BL72" i="4" s="1"/>
  <c r="AO89" i="4"/>
  <c r="AO90" i="4" s="1"/>
  <c r="AO92" i="4" s="1"/>
  <c r="AO18" i="4"/>
  <c r="AO78" i="4"/>
  <c r="AO19" i="4"/>
  <c r="AN92" i="4"/>
  <c r="AO46" i="4"/>
  <c r="AQ18" i="5" l="1"/>
  <c r="AP71" i="5"/>
  <c r="AP72" i="5" s="1"/>
  <c r="AP86" i="5" s="1"/>
  <c r="AP89" i="5" s="1"/>
  <c r="AO87" i="5"/>
  <c r="AO89" i="5"/>
  <c r="AQ19" i="5"/>
  <c r="AQ83" i="5"/>
  <c r="AQ84" i="5" s="1"/>
  <c r="AQ41" i="5"/>
  <c r="AR2" i="5"/>
  <c r="AS4" i="5"/>
  <c r="AQ11" i="5"/>
  <c r="AQ7" i="5"/>
  <c r="AP46" i="4"/>
  <c r="AP18" i="4"/>
  <c r="AP89" i="4"/>
  <c r="AP90" i="4" s="1"/>
  <c r="AP92" i="4" s="1"/>
  <c r="AQ7" i="4"/>
  <c r="AQ2" i="4"/>
  <c r="AR4" i="4"/>
  <c r="AQ11" i="4"/>
  <c r="AO95" i="4"/>
  <c r="AO107" i="4" s="1"/>
  <c r="AN93" i="4"/>
  <c r="AO93" i="4" s="1"/>
  <c r="AN95" i="4"/>
  <c r="AQ71" i="5" l="1"/>
  <c r="AQ72" i="5" s="1"/>
  <c r="AQ86" i="5" s="1"/>
  <c r="AQ89" i="5" s="1"/>
  <c r="AS2" i="5"/>
  <c r="AT4" i="5"/>
  <c r="AP87" i="5"/>
  <c r="AR11" i="5"/>
  <c r="AR83" i="5"/>
  <c r="AR84" i="5" s="1"/>
  <c r="AR7" i="5"/>
  <c r="AO90" i="5"/>
  <c r="AP90" i="5" s="1"/>
  <c r="AR18" i="5"/>
  <c r="AR19" i="5" s="1"/>
  <c r="AR41" i="5"/>
  <c r="AP95" i="4"/>
  <c r="AP107" i="4" s="1"/>
  <c r="AQ46" i="4"/>
  <c r="AQ89" i="4"/>
  <c r="AQ90" i="4" s="1"/>
  <c r="AQ92" i="4" s="1"/>
  <c r="AN107" i="4"/>
  <c r="AN108" i="4" s="1"/>
  <c r="AO108" i="4" s="1"/>
  <c r="AN96" i="4"/>
  <c r="AO96" i="4" s="1"/>
  <c r="AP96" i="4" s="1"/>
  <c r="AP93" i="4"/>
  <c r="AQ78" i="4"/>
  <c r="AR7" i="4"/>
  <c r="AR2" i="4"/>
  <c r="AS4" i="4"/>
  <c r="AR11" i="4"/>
  <c r="AQ18" i="4"/>
  <c r="AP19" i="4"/>
  <c r="AS83" i="5" l="1"/>
  <c r="AS84" i="5" s="1"/>
  <c r="AT2" i="5"/>
  <c r="AU4" i="5"/>
  <c r="AS11" i="5"/>
  <c r="AQ87" i="5"/>
  <c r="AQ90" i="5"/>
  <c r="AS7" i="5"/>
  <c r="AS41" i="5"/>
  <c r="AR71" i="5"/>
  <c r="AR72" i="5" s="1"/>
  <c r="AR86" i="5" s="1"/>
  <c r="AR89" i="5" s="1"/>
  <c r="AS18" i="5"/>
  <c r="AS19" i="5" s="1"/>
  <c r="AQ19" i="4"/>
  <c r="AS2" i="4"/>
  <c r="AT4" i="4"/>
  <c r="AS11" i="4"/>
  <c r="AS7" i="4"/>
  <c r="AR46" i="4"/>
  <c r="AR89" i="4"/>
  <c r="AR90" i="4"/>
  <c r="AQ95" i="4"/>
  <c r="AQ107" i="4" s="1"/>
  <c r="AR78" i="4"/>
  <c r="AR18" i="4"/>
  <c r="AQ93" i="4"/>
  <c r="AQ96" i="4"/>
  <c r="AP108" i="4"/>
  <c r="AQ108" i="4" s="1"/>
  <c r="AT18" i="5" l="1"/>
  <c r="AT19" i="5" s="1"/>
  <c r="AS71" i="5"/>
  <c r="AS72" i="5" s="1"/>
  <c r="AS86" i="5"/>
  <c r="AT83" i="5"/>
  <c r="AT84" i="5" s="1"/>
  <c r="AU2" i="5"/>
  <c r="AV4" i="5"/>
  <c r="AT11" i="5"/>
  <c r="AR90" i="5"/>
  <c r="AS90" i="5" s="1"/>
  <c r="AT41" i="5"/>
  <c r="AT7" i="5"/>
  <c r="AS89" i="5"/>
  <c r="AR87" i="5"/>
  <c r="AS87" i="5" s="1"/>
  <c r="AT11" i="4"/>
  <c r="AR93" i="4"/>
  <c r="AS89" i="4"/>
  <c r="AS90" i="4"/>
  <c r="AR19" i="4"/>
  <c r="AR92" i="4"/>
  <c r="AR95" i="4" s="1"/>
  <c r="AS78" i="4"/>
  <c r="AS46" i="4"/>
  <c r="AS18" i="4"/>
  <c r="AU4" i="4"/>
  <c r="AT18" i="4"/>
  <c r="AT7" i="4"/>
  <c r="AT2" i="4"/>
  <c r="AU18" i="5" l="1"/>
  <c r="AT71" i="5"/>
  <c r="AT72" i="5" s="1"/>
  <c r="AT86" i="5" s="1"/>
  <c r="AU83" i="5"/>
  <c r="AU84" i="5"/>
  <c r="AU7" i="5"/>
  <c r="AW4" i="5"/>
  <c r="AV2" i="5"/>
  <c r="AU41" i="5"/>
  <c r="AU11" i="5"/>
  <c r="AU19" i="5"/>
  <c r="AR107" i="4"/>
  <c r="AR108" i="4" s="1"/>
  <c r="AR96" i="4"/>
  <c r="AS92" i="4"/>
  <c r="AT89" i="4"/>
  <c r="AT90" i="4"/>
  <c r="AV4" i="4"/>
  <c r="AU7" i="4"/>
  <c r="AU2" i="4"/>
  <c r="AT78" i="4"/>
  <c r="AU11" i="4"/>
  <c r="AT46" i="4"/>
  <c r="AS95" i="4"/>
  <c r="AS107" i="4" s="1"/>
  <c r="AS93" i="4"/>
  <c r="AS19" i="4"/>
  <c r="AT19" i="4" s="1"/>
  <c r="AV18" i="5" l="1"/>
  <c r="AV19" i="5" s="1"/>
  <c r="AT89" i="5"/>
  <c r="AT87" i="5"/>
  <c r="AV41" i="5"/>
  <c r="AV83" i="5"/>
  <c r="AV84" i="5"/>
  <c r="AV7" i="5"/>
  <c r="AU71" i="5"/>
  <c r="AU72" i="5" s="1"/>
  <c r="AU86" i="5" s="1"/>
  <c r="AU89" i="5" s="1"/>
  <c r="AV11" i="5"/>
  <c r="AX4" i="5"/>
  <c r="AW2" i="5"/>
  <c r="AU89" i="4"/>
  <c r="AU90" i="4"/>
  <c r="AU46" i="4"/>
  <c r="AU19" i="4"/>
  <c r="AT92" i="4"/>
  <c r="AT95" i="4" s="1"/>
  <c r="AT107" i="4" s="1"/>
  <c r="AU18" i="4"/>
  <c r="AU78" i="4"/>
  <c r="AS96" i="4"/>
  <c r="AV78" i="4"/>
  <c r="AW4" i="4"/>
  <c r="AV18" i="4"/>
  <c r="AV11" i="4"/>
  <c r="AV7" i="4"/>
  <c r="AV2" i="4"/>
  <c r="AS108" i="4"/>
  <c r="AT108" i="4" s="1"/>
  <c r="AW83" i="5" l="1"/>
  <c r="AW84" i="5" s="1"/>
  <c r="AV71" i="5"/>
  <c r="AV72" i="5" s="1"/>
  <c r="AV86" i="5" s="1"/>
  <c r="AV89" i="5" s="1"/>
  <c r="AW11" i="5"/>
  <c r="AY4" i="5"/>
  <c r="AX2" i="5"/>
  <c r="AU87" i="5"/>
  <c r="AW41" i="5"/>
  <c r="AT90" i="5"/>
  <c r="AU90" i="5" s="1"/>
  <c r="AW18" i="5"/>
  <c r="AW19" i="5" s="1"/>
  <c r="AW7" i="5"/>
  <c r="AV19" i="4"/>
  <c r="AW18" i="4"/>
  <c r="AW11" i="4"/>
  <c r="AW2" i="4"/>
  <c r="AW7" i="4"/>
  <c r="AX4" i="4"/>
  <c r="AV89" i="4"/>
  <c r="AV90" i="4" s="1"/>
  <c r="AV92" i="4" s="1"/>
  <c r="AV95" i="4" s="1"/>
  <c r="AV107" i="4" s="1"/>
  <c r="AT96" i="4"/>
  <c r="AU92" i="4"/>
  <c r="AU95" i="4" s="1"/>
  <c r="AU107" i="4" s="1"/>
  <c r="AU108" i="4" s="1"/>
  <c r="AV108" i="4" s="1"/>
  <c r="AV46" i="4"/>
  <c r="AT93" i="4"/>
  <c r="AU93" i="4" s="1"/>
  <c r="AV90" i="5" l="1"/>
  <c r="AX41" i="5"/>
  <c r="AW71" i="5"/>
  <c r="AW72" i="5" s="1"/>
  <c r="AW86" i="5" s="1"/>
  <c r="AW89" i="5" s="1"/>
  <c r="AX7" i="5"/>
  <c r="AX18" i="5"/>
  <c r="AX11" i="5"/>
  <c r="AZ4" i="5"/>
  <c r="AY2" i="5"/>
  <c r="AX83" i="5"/>
  <c r="AX84" i="5" s="1"/>
  <c r="AV87" i="5"/>
  <c r="AV93" i="4"/>
  <c r="AW89" i="4"/>
  <c r="AW90" i="4" s="1"/>
  <c r="AW92" i="4" s="1"/>
  <c r="AW95" i="4" s="1"/>
  <c r="AW107" i="4" s="1"/>
  <c r="AW108" i="4" s="1"/>
  <c r="AX7" i="4"/>
  <c r="AX2" i="4"/>
  <c r="AX11" i="4"/>
  <c r="AX78" i="4"/>
  <c r="AY4" i="4"/>
  <c r="AW78" i="4"/>
  <c r="AW19" i="4"/>
  <c r="AW46" i="4"/>
  <c r="AU96" i="4"/>
  <c r="AV96" i="4" s="1"/>
  <c r="AX71" i="5" l="1"/>
  <c r="AX72" i="5" s="1"/>
  <c r="AX86" i="5" s="1"/>
  <c r="AX89" i="5" s="1"/>
  <c r="AW90" i="5"/>
  <c r="AW87" i="5"/>
  <c r="AZ2" i="5"/>
  <c r="BA4" i="5"/>
  <c r="AY11" i="5"/>
  <c r="AY7" i="5"/>
  <c r="AY83" i="5"/>
  <c r="AY84" i="5" s="1"/>
  <c r="AY18" i="5"/>
  <c r="AY41" i="5"/>
  <c r="AX19" i="5"/>
  <c r="AY19" i="5" s="1"/>
  <c r="AX90" i="4"/>
  <c r="AX92" i="4" s="1"/>
  <c r="AX89" i="4"/>
  <c r="AW93" i="4"/>
  <c r="AX93" i="4" s="1"/>
  <c r="AX18" i="4"/>
  <c r="AX95" i="4" s="1"/>
  <c r="AX107" i="4" s="1"/>
  <c r="AX108" i="4" s="1"/>
  <c r="AX46" i="4"/>
  <c r="AW96" i="4"/>
  <c r="AY78" i="4"/>
  <c r="AY7" i="4"/>
  <c r="AZ4" i="4"/>
  <c r="AY2" i="4"/>
  <c r="AY11" i="4"/>
  <c r="AX87" i="5" l="1"/>
  <c r="AZ83" i="5"/>
  <c r="AZ84" i="5" s="1"/>
  <c r="AZ41" i="5"/>
  <c r="AX90" i="5"/>
  <c r="BA2" i="5"/>
  <c r="BB4" i="5"/>
  <c r="AY71" i="5"/>
  <c r="AY72" i="5" s="1"/>
  <c r="AY86" i="5" s="1"/>
  <c r="AZ7" i="5"/>
  <c r="AZ11" i="5"/>
  <c r="AZ18" i="5"/>
  <c r="AY89" i="4"/>
  <c r="AY90" i="4" s="1"/>
  <c r="AX96" i="4"/>
  <c r="AY46" i="4"/>
  <c r="AY18" i="4"/>
  <c r="AZ7" i="4"/>
  <c r="AZ2" i="4"/>
  <c r="BA4" i="4"/>
  <c r="AZ11" i="4"/>
  <c r="AX19" i="4"/>
  <c r="AY19" i="4" s="1"/>
  <c r="AY87" i="5" l="1"/>
  <c r="AY89" i="5"/>
  <c r="AZ71" i="5"/>
  <c r="AZ72" i="5" s="1"/>
  <c r="AZ86" i="5" s="1"/>
  <c r="BA83" i="5"/>
  <c r="BA84" i="5" s="1"/>
  <c r="BA18" i="5"/>
  <c r="AY90" i="5"/>
  <c r="BB2" i="5"/>
  <c r="BC4" i="5"/>
  <c r="BA41" i="5"/>
  <c r="AZ19" i="5"/>
  <c r="BA19" i="5" s="1"/>
  <c r="BA11" i="5"/>
  <c r="BA7" i="5"/>
  <c r="AY92" i="4"/>
  <c r="AY93" i="4" s="1"/>
  <c r="AZ46" i="4"/>
  <c r="AZ89" i="4"/>
  <c r="AZ90" i="4"/>
  <c r="AZ78" i="4"/>
  <c r="BA2" i="4"/>
  <c r="BB4" i="4"/>
  <c r="BA11" i="4"/>
  <c r="BA7" i="4"/>
  <c r="AY95" i="4"/>
  <c r="AY107" i="4" s="1"/>
  <c r="AY108" i="4" s="1"/>
  <c r="AZ18" i="4"/>
  <c r="BA71" i="5" l="1"/>
  <c r="BA72" i="5" s="1"/>
  <c r="BA86" i="5" s="1"/>
  <c r="BA89" i="5" s="1"/>
  <c r="AZ87" i="5"/>
  <c r="AZ89" i="5"/>
  <c r="BB41" i="5"/>
  <c r="BB7" i="5"/>
  <c r="BB11" i="5"/>
  <c r="BB83" i="5"/>
  <c r="BB84" i="5" s="1"/>
  <c r="BB18" i="5"/>
  <c r="BB19" i="5" s="1"/>
  <c r="BD4" i="5"/>
  <c r="BC2" i="5"/>
  <c r="AZ90" i="5"/>
  <c r="AZ95" i="4"/>
  <c r="AZ107" i="4" s="1"/>
  <c r="AZ108" i="4" s="1"/>
  <c r="AZ19" i="4"/>
  <c r="BA46" i="4"/>
  <c r="BA89" i="4"/>
  <c r="BA90" i="4"/>
  <c r="AY96" i="4"/>
  <c r="AZ96" i="4" s="1"/>
  <c r="BA18" i="4"/>
  <c r="AZ92" i="4"/>
  <c r="AZ93" i="4" s="1"/>
  <c r="BC4" i="4"/>
  <c r="BB11" i="4"/>
  <c r="BB7" i="4"/>
  <c r="BB2" i="4"/>
  <c r="BA78" i="4"/>
  <c r="BC18" i="5" l="1"/>
  <c r="BA87" i="5"/>
  <c r="BC41" i="5"/>
  <c r="BA90" i="5"/>
  <c r="BB71" i="5"/>
  <c r="BB72" i="5" s="1"/>
  <c r="BB86" i="5" s="1"/>
  <c r="BC7" i="5"/>
  <c r="BC19" i="5"/>
  <c r="BE4" i="5"/>
  <c r="BD2" i="5"/>
  <c r="BC11" i="5"/>
  <c r="BC83" i="5"/>
  <c r="BC84" i="5" s="1"/>
  <c r="BA19" i="4"/>
  <c r="BB89" i="4"/>
  <c r="BB90" i="4" s="1"/>
  <c r="BB92" i="4" s="1"/>
  <c r="BD4" i="4"/>
  <c r="BC18" i="4"/>
  <c r="BC11" i="4"/>
  <c r="BC7" i="4"/>
  <c r="BC2" i="4"/>
  <c r="BB78" i="4"/>
  <c r="BA92" i="4"/>
  <c r="BA95" i="4" s="1"/>
  <c r="BB18" i="4"/>
  <c r="BB46" i="4"/>
  <c r="BD41" i="5" l="1"/>
  <c r="BC71" i="5"/>
  <c r="BC72" i="5" s="1"/>
  <c r="BC86" i="5" s="1"/>
  <c r="BC89" i="5" s="1"/>
  <c r="BB87" i="5"/>
  <c r="BB89" i="5"/>
  <c r="BE72" i="5"/>
  <c r="BF4" i="5"/>
  <c r="BE2" i="5"/>
  <c r="BD7" i="5"/>
  <c r="BD18" i="5"/>
  <c r="BD83" i="5"/>
  <c r="BD84" i="5"/>
  <c r="BD11" i="5"/>
  <c r="BA107" i="4"/>
  <c r="BA108" i="4" s="1"/>
  <c r="BA96" i="4"/>
  <c r="BC46" i="4"/>
  <c r="BB95" i="4"/>
  <c r="BB107" i="4" s="1"/>
  <c r="BB19" i="4"/>
  <c r="BC19" i="4" s="1"/>
  <c r="BC78" i="4"/>
  <c r="BA93" i="4"/>
  <c r="BB93" i="4" s="1"/>
  <c r="BE4" i="4"/>
  <c r="BD2" i="4"/>
  <c r="BD18" i="4"/>
  <c r="BD11" i="4"/>
  <c r="BD7" i="4"/>
  <c r="BC89" i="4"/>
  <c r="BC90" i="4"/>
  <c r="BG4" i="5" l="1"/>
  <c r="BF2" i="5"/>
  <c r="BE83" i="5"/>
  <c r="BE84" i="5" s="1"/>
  <c r="BE86" i="5" s="1"/>
  <c r="BB90" i="5"/>
  <c r="BC90" i="5" s="1"/>
  <c r="BC87" i="5"/>
  <c r="BE41" i="5"/>
  <c r="BE7" i="5"/>
  <c r="BE11" i="5"/>
  <c r="BD19" i="5"/>
  <c r="BD71" i="5"/>
  <c r="BD72" i="5" s="1"/>
  <c r="BD86" i="5"/>
  <c r="BD89" i="5" s="1"/>
  <c r="BE18" i="5"/>
  <c r="BE7" i="4"/>
  <c r="BC92" i="4"/>
  <c r="BC95" i="4" s="1"/>
  <c r="BC107" i="4" s="1"/>
  <c r="BD78" i="4"/>
  <c r="BD89" i="4"/>
  <c r="BD90" i="4"/>
  <c r="BB96" i="4"/>
  <c r="BE11" i="4"/>
  <c r="BE2" i="4"/>
  <c r="BF4" i="4"/>
  <c r="BD46" i="4"/>
  <c r="BD19" i="4"/>
  <c r="BB108" i="4"/>
  <c r="BC108" i="4" s="1"/>
  <c r="BF18" i="5" l="1"/>
  <c r="BD87" i="5"/>
  <c r="BE87" i="5" s="1"/>
  <c r="BG2" i="5"/>
  <c r="BH4" i="5"/>
  <c r="BE89" i="5"/>
  <c r="BF7" i="5"/>
  <c r="BD90" i="5"/>
  <c r="BE19" i="5"/>
  <c r="BF19" i="5" s="1"/>
  <c r="BF11" i="5"/>
  <c r="BF83" i="5"/>
  <c r="BF84" i="5"/>
  <c r="BE71" i="5"/>
  <c r="BF41" i="5"/>
  <c r="BF71" i="5" s="1"/>
  <c r="BF72" i="5"/>
  <c r="BD92" i="4"/>
  <c r="BD95" i="4" s="1"/>
  <c r="BD107" i="4" s="1"/>
  <c r="BD108" i="4" s="1"/>
  <c r="BF11" i="4"/>
  <c r="BF7" i="4"/>
  <c r="BF2" i="4"/>
  <c r="BG4" i="4"/>
  <c r="BE46" i="4"/>
  <c r="BE89" i="4"/>
  <c r="BE90" i="4" s="1"/>
  <c r="BE92" i="4" s="1"/>
  <c r="BE18" i="4"/>
  <c r="BE19" i="4" s="1"/>
  <c r="BC96" i="4"/>
  <c r="BD96" i="4" s="1"/>
  <c r="BE78" i="4"/>
  <c r="BC93" i="4"/>
  <c r="BD93" i="4" s="1"/>
  <c r="BG7" i="5" l="1"/>
  <c r="BE90" i="5"/>
  <c r="BH2" i="5"/>
  <c r="BI4" i="5"/>
  <c r="BF86" i="5"/>
  <c r="BF89" i="5" s="1"/>
  <c r="BG11" i="5"/>
  <c r="BG83" i="5"/>
  <c r="BG84" i="5" s="1"/>
  <c r="BG86" i="5" s="1"/>
  <c r="BG72" i="5"/>
  <c r="BG18" i="5"/>
  <c r="BG19" i="5" s="1"/>
  <c r="BG41" i="5"/>
  <c r="BF87" i="5"/>
  <c r="BE93" i="4"/>
  <c r="BF46" i="4"/>
  <c r="BF89" i="4"/>
  <c r="BF90" i="4" s="1"/>
  <c r="BF92" i="4" s="1"/>
  <c r="BF18" i="4"/>
  <c r="BE95" i="4"/>
  <c r="BE107" i="4" s="1"/>
  <c r="BE108" i="4" s="1"/>
  <c r="BF78" i="4"/>
  <c r="BG7" i="4"/>
  <c r="BG2" i="4"/>
  <c r="BH4" i="4"/>
  <c r="BG11" i="4"/>
  <c r="BH18" i="5" l="1"/>
  <c r="BH72" i="5"/>
  <c r="BH83" i="5"/>
  <c r="BH84" i="5" s="1"/>
  <c r="BF90" i="5"/>
  <c r="BH11" i="5"/>
  <c r="BG89" i="5"/>
  <c r="BI41" i="5"/>
  <c r="BI72" i="5"/>
  <c r="BJ4" i="5"/>
  <c r="BI2" i="5"/>
  <c r="BG71" i="5"/>
  <c r="BH19" i="5"/>
  <c r="BH7" i="5"/>
  <c r="BG87" i="5"/>
  <c r="BH41" i="5"/>
  <c r="BG89" i="4"/>
  <c r="BG90" i="4"/>
  <c r="BG78" i="4"/>
  <c r="BF93" i="4"/>
  <c r="BF95" i="4"/>
  <c r="BF107" i="4" s="1"/>
  <c r="BF108" i="4" s="1"/>
  <c r="BH7" i="4"/>
  <c r="BH2" i="4"/>
  <c r="BI4" i="4"/>
  <c r="BH18" i="4"/>
  <c r="BH11" i="4"/>
  <c r="BE96" i="4"/>
  <c r="BF96" i="4" s="1"/>
  <c r="BG18" i="4"/>
  <c r="BG46" i="4"/>
  <c r="BF19" i="4"/>
  <c r="BG90" i="5" l="1"/>
  <c r="BH86" i="5"/>
  <c r="BH89" i="5" s="1"/>
  <c r="BI11" i="5"/>
  <c r="BH90" i="5"/>
  <c r="BI18" i="5"/>
  <c r="BI19" i="5"/>
  <c r="BK69" i="5"/>
  <c r="BK36" i="5"/>
  <c r="BK37" i="5"/>
  <c r="BK15" i="5"/>
  <c r="BK35" i="5"/>
  <c r="BJ2" i="5"/>
  <c r="BK6" i="5"/>
  <c r="BK14" i="5"/>
  <c r="BK10" i="5"/>
  <c r="BK17" i="5"/>
  <c r="BK16" i="5"/>
  <c r="BI7" i="5"/>
  <c r="BI83" i="5"/>
  <c r="BI84" i="5" s="1"/>
  <c r="BH71" i="5"/>
  <c r="BH87" i="5"/>
  <c r="BG19" i="4"/>
  <c r="BH19" i="4" s="1"/>
  <c r="BI2" i="4"/>
  <c r="BJ4" i="4"/>
  <c r="BI18" i="4"/>
  <c r="BI11" i="4"/>
  <c r="BI7" i="4"/>
  <c r="BG92" i="4"/>
  <c r="BG93" i="4" s="1"/>
  <c r="BH46" i="4"/>
  <c r="BG95" i="4"/>
  <c r="BG107" i="4" s="1"/>
  <c r="BG108" i="4" s="1"/>
  <c r="BH89" i="4"/>
  <c r="BH90" i="4"/>
  <c r="BG96" i="4"/>
  <c r="BH78" i="4"/>
  <c r="BI86" i="5" l="1"/>
  <c r="BI87" i="5" s="1"/>
  <c r="BI71" i="5"/>
  <c r="BJ18" i="5"/>
  <c r="BK13" i="5"/>
  <c r="BK18" i="5" s="1"/>
  <c r="BJ7" i="5"/>
  <c r="BJ19" i="5"/>
  <c r="BJ11" i="5"/>
  <c r="BJ72" i="5"/>
  <c r="BK72" i="5" s="1"/>
  <c r="BK68" i="5"/>
  <c r="BJ41" i="5"/>
  <c r="BK34" i="5"/>
  <c r="BJ83" i="5"/>
  <c r="BK83" i="5" s="1"/>
  <c r="BJ84" i="5"/>
  <c r="BK82" i="5"/>
  <c r="BJ11" i="4"/>
  <c r="BI19" i="4"/>
  <c r="BI78" i="4"/>
  <c r="BI89" i="4"/>
  <c r="BI90" i="4"/>
  <c r="BH92" i="4"/>
  <c r="BH95" i="4" s="1"/>
  <c r="BH107" i="4" s="1"/>
  <c r="BH108" i="4" s="1"/>
  <c r="BJ78" i="4"/>
  <c r="BK4" i="4"/>
  <c r="BJ7" i="4"/>
  <c r="BJ2" i="4"/>
  <c r="BI46" i="4"/>
  <c r="BI89" i="5" l="1"/>
  <c r="X30" i="5"/>
  <c r="BJ89" i="5"/>
  <c r="BK19" i="5"/>
  <c r="BJ71" i="5"/>
  <c r="BK71" i="5" s="1"/>
  <c r="BK41" i="5"/>
  <c r="BJ86" i="5"/>
  <c r="BJ87" i="5" s="1"/>
  <c r="BK84" i="5"/>
  <c r="BI90" i="5"/>
  <c r="BL36" i="4"/>
  <c r="BL76" i="4"/>
  <c r="BL77" i="4"/>
  <c r="BL17" i="4"/>
  <c r="BL35" i="4"/>
  <c r="BL41" i="4"/>
  <c r="BL16" i="4"/>
  <c r="BL10" i="4"/>
  <c r="BL14" i="4"/>
  <c r="BK2" i="4"/>
  <c r="BL34" i="4"/>
  <c r="BL15" i="4"/>
  <c r="BL6" i="4"/>
  <c r="BJ89" i="4"/>
  <c r="BJ90" i="4"/>
  <c r="BJ46" i="4"/>
  <c r="BH96" i="4"/>
  <c r="BJ18" i="4"/>
  <c r="BJ19" i="4" s="1"/>
  <c r="BI92" i="4"/>
  <c r="BI95" i="4" s="1"/>
  <c r="BI107" i="4" s="1"/>
  <c r="BI108" i="4" s="1"/>
  <c r="BH93" i="4"/>
  <c r="BI93" i="4" s="1"/>
  <c r="BJ90" i="5" l="1"/>
  <c r="C92" i="5" s="1"/>
  <c r="BJ92" i="4"/>
  <c r="BJ93" i="4" s="1"/>
  <c r="BK89" i="4"/>
  <c r="BL89" i="4" s="1"/>
  <c r="BK90" i="4"/>
  <c r="BL88" i="4"/>
  <c r="BK78" i="4"/>
  <c r="BL78" i="4" s="1"/>
  <c r="BL75" i="4"/>
  <c r="BK18" i="4"/>
  <c r="BL13" i="4"/>
  <c r="BL18" i="4" s="1"/>
  <c r="BL19" i="4" s="1"/>
  <c r="BK11" i="4"/>
  <c r="BI96" i="4"/>
  <c r="BL44" i="4"/>
  <c r="BL33" i="4"/>
  <c r="BK7" i="4"/>
  <c r="BJ95" i="4" l="1"/>
  <c r="BJ107" i="4" s="1"/>
  <c r="BJ108" i="4" s="1"/>
  <c r="BK92" i="4"/>
  <c r="BK93" i="4" s="1"/>
  <c r="BL90" i="4"/>
  <c r="BN90" i="4" s="1"/>
  <c r="BM13" i="4"/>
  <c r="BK95" i="4"/>
  <c r="BK107" i="4" s="1"/>
  <c r="BK108" i="4" s="1"/>
  <c r="C109" i="4" s="1"/>
  <c r="BK19" i="4"/>
  <c r="BK46" i="4"/>
  <c r="BL46" i="4" s="1"/>
  <c r="BJ96" i="4" l="1"/>
  <c r="BK96" i="4"/>
  <c r="BM96" i="4" s="1"/>
  <c r="BO46" i="4"/>
  <c r="C98" i="4" l="1"/>
  <c r="V97" i="4" l="1"/>
  <c r="BL107" i="4"/>
  <c r="I39" i="2" l="1"/>
  <c r="D37" i="2"/>
  <c r="B37" i="2"/>
  <c r="G36" i="2"/>
  <c r="I36" i="2" s="1"/>
  <c r="D36" i="2"/>
  <c r="B36" i="2"/>
  <c r="B35" i="2"/>
  <c r="D33" i="2"/>
  <c r="B33" i="2"/>
  <c r="D32" i="2"/>
  <c r="B32" i="2"/>
  <c r="B31" i="2"/>
  <c r="I23" i="2"/>
  <c r="I25" i="2" s="1"/>
  <c r="I22" i="2" s="1"/>
  <c r="E17" i="2"/>
  <c r="D17" i="2"/>
  <c r="I15" i="2"/>
  <c r="J15" i="2" s="1"/>
  <c r="F15" i="2"/>
  <c r="F37" i="2" s="1"/>
  <c r="I37" i="2" s="1"/>
  <c r="G14" i="2"/>
  <c r="H14" i="2" s="1"/>
  <c r="I14" i="2" s="1"/>
  <c r="J14" i="2" s="1"/>
  <c r="F14" i="2"/>
  <c r="F36" i="2" s="1"/>
  <c r="I11" i="2"/>
  <c r="J11" i="2" s="1"/>
  <c r="G17" i="2"/>
  <c r="F11" i="2"/>
  <c r="F33" i="2" s="1"/>
  <c r="H10" i="2"/>
  <c r="I10" i="2" s="1"/>
  <c r="F10" i="2"/>
  <c r="F17" i="2" s="1"/>
  <c r="E23" i="2" s="1"/>
  <c r="J10" i="2" l="1"/>
  <c r="J17" i="2" s="1"/>
  <c r="I17" i="2"/>
  <c r="L22" i="2" s="1"/>
  <c r="I33" i="2"/>
  <c r="J22" i="2"/>
  <c r="F32" i="2"/>
  <c r="I32" i="2" s="1"/>
  <c r="I77" i="2" l="1"/>
  <c r="I72" i="2"/>
  <c r="I62" i="2"/>
  <c r="H17" i="2"/>
  <c r="I42" i="2"/>
  <c r="I27" i="2"/>
  <c r="I73" i="2" l="1"/>
  <c r="I71" i="2" s="1"/>
  <c r="I58" i="2"/>
  <c r="L27" i="2"/>
  <c r="I55" i="2"/>
  <c r="I60" i="2"/>
  <c r="I47" i="2"/>
  <c r="I59" i="2"/>
  <c r="J27" i="2"/>
  <c r="I78" i="2"/>
  <c r="I75" i="2"/>
  <c r="L71" i="2" l="1"/>
  <c r="J71" i="2"/>
  <c r="I45" i="2"/>
  <c r="L75" i="2"/>
  <c r="J75" i="2"/>
  <c r="I57" i="2"/>
  <c r="J45" i="2" l="1"/>
  <c r="L45" i="2"/>
  <c r="I69" i="2"/>
  <c r="I67" i="2" s="1"/>
  <c r="I80" i="2"/>
  <c r="L57" i="2"/>
  <c r="K57" i="2"/>
  <c r="J57" i="2"/>
  <c r="J80" i="2" l="1"/>
  <c r="K22" i="2"/>
  <c r="I82" i="2"/>
  <c r="K27" i="2"/>
  <c r="K71" i="2"/>
  <c r="K75" i="2"/>
  <c r="L67" i="2"/>
  <c r="K67" i="2"/>
  <c r="J67" i="2"/>
  <c r="K45" i="2"/>
  <c r="I85" i="2" l="1"/>
  <c r="I84" i="2"/>
  <c r="I83" i="2"/>
  <c r="J83" i="2" s="1"/>
  <c r="J8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Pavilion 15</author>
  </authors>
  <commentList>
    <comment ref="I61" authorId="0" shapeId="0" xr:uid="{072AA666-D9B3-4E10-A12C-F127A34D8F0D}">
      <text>
        <r>
          <rPr>
            <sz val="11"/>
            <color theme="1"/>
            <rFont val="Calibri"/>
            <family val="2"/>
            <scheme val="minor"/>
          </rPr>
          <t>======
ID#AAABY1i916o
Pavilion 15    (2025-01-17 22:32:30)
mas medio ambiente 58,810</t>
        </r>
      </text>
    </comment>
    <comment ref="I63" authorId="1" shapeId="0" xr:uid="{03AA1B9F-09E5-4C2C-9868-E9455AFED43A}">
      <text>
        <r>
          <rPr>
            <b/>
            <sz val="9"/>
            <color indexed="81"/>
            <rFont val="Tahoma"/>
            <family val="2"/>
          </rPr>
          <t>Pavilion 15:</t>
        </r>
        <r>
          <rPr>
            <sz val="9"/>
            <color indexed="81"/>
            <rFont val="Tahoma"/>
            <family val="2"/>
          </rPr>
          <t xml:space="preserve">
400,000 AYUNTAMIETNO VILLA HERMOSA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Pavilion 15</author>
  </authors>
  <commentList>
    <comment ref="C58" authorId="0" shapeId="0" xr:uid="{857A09A5-146A-4865-B60C-2CC48205055C}">
      <text>
        <r>
          <rPr>
            <sz val="11"/>
            <color theme="1"/>
            <rFont val="Calibri"/>
            <family val="2"/>
            <scheme val="minor"/>
          </rPr>
          <t>======
ID#AAABY1i916s
Pavilion 15    (2025-01-17 22:32:30)
medio ambiente</t>
        </r>
      </text>
    </comment>
    <comment ref="E60" authorId="1" shapeId="0" xr:uid="{517ABA83-E5B2-42DF-B7D9-D730D593AE72}">
      <text>
        <r>
          <rPr>
            <b/>
            <sz val="9"/>
            <color indexed="81"/>
            <rFont val="Tahoma"/>
            <family val="2"/>
          </rPr>
          <t>Pavilion 15:</t>
        </r>
        <r>
          <rPr>
            <sz val="9"/>
            <color indexed="81"/>
            <rFont val="Tahoma"/>
            <family val="2"/>
          </rPr>
          <t xml:space="preserve">
POZO</t>
        </r>
      </text>
    </comment>
    <comment ref="I60" authorId="1" shapeId="0" xr:uid="{D3751BB5-DC63-4952-B89D-98C68D867EA3}">
      <text>
        <r>
          <rPr>
            <b/>
            <sz val="9"/>
            <color indexed="81"/>
            <rFont val="Tahoma"/>
            <family val="2"/>
          </rPr>
          <t>Pavilion 15:</t>
        </r>
        <r>
          <rPr>
            <sz val="9"/>
            <color indexed="81"/>
            <rFont val="Tahoma"/>
            <family val="2"/>
          </rPr>
          <t xml:space="preserve">
certificacion de coordenadas</t>
        </r>
      </text>
    </comment>
    <comment ref="C65" authorId="1" shapeId="0" xr:uid="{9EF9206F-542D-4088-9257-4CE1B019E131}">
      <text>
        <r>
          <rPr>
            <b/>
            <sz val="9"/>
            <color indexed="81"/>
            <rFont val="Tahoma"/>
            <family val="2"/>
          </rPr>
          <t>Pavilion 15:</t>
        </r>
        <r>
          <rPr>
            <sz val="9"/>
            <color indexed="81"/>
            <rFont val="Tahoma"/>
            <family val="2"/>
          </rPr>
          <t xml:space="preserve">
victor marmol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3" authorId="0" shapeId="0" xr:uid="{D5DA8BDC-EF03-4CFC-8ED8-27EA5A49354A}">
      <text>
        <r>
          <rPr>
            <sz val="11"/>
            <color theme="1"/>
            <rFont val="Calibri"/>
            <family val="2"/>
            <scheme val="minor"/>
          </rPr>
          <t>======
ID#AAAB26TkJEI
Pavilion 15    (2026-04-02 03:46:41)
9,291.13m2</t>
        </r>
      </text>
    </comment>
    <comment ref="B55" authorId="0" shapeId="0" xr:uid="{C8011929-D739-4E0E-B560-8B4D7FDE3991}">
      <text>
        <r>
          <rPr>
            <sz val="11"/>
            <color theme="1"/>
            <rFont val="Calibri"/>
            <family val="2"/>
            <scheme val="minor"/>
          </rPr>
          <t>======
ID#AAAB26TkJEM
Pavilion 15    (2026-04-02 03:46:41)
Aumento de densidad</t>
        </r>
      </text>
    </comment>
  </commentList>
</comments>
</file>

<file path=xl/sharedStrings.xml><?xml version="1.0" encoding="utf-8"?>
<sst xmlns="http://schemas.openxmlformats.org/spreadsheetml/2006/main" count="414" uniqueCount="169">
  <si>
    <r>
      <rPr>
        <b/>
        <i/>
        <sz val="22"/>
        <color theme="1"/>
        <rFont val="Calibri"/>
        <family val="2"/>
      </rPr>
      <t xml:space="preserve">ESTUDIO DE FACTIBILIDAD JUAN DOLIO - </t>
    </r>
    <r>
      <rPr>
        <b/>
        <i/>
        <sz val="22"/>
        <color rgb="FFFF0000"/>
        <rFont val="Calibri"/>
        <family val="2"/>
      </rPr>
      <t>TURISTICO</t>
    </r>
  </si>
  <si>
    <t>INGRESOS</t>
  </si>
  <si>
    <t>HABITACIONES</t>
  </si>
  <si>
    <t>UNIDADES</t>
  </si>
  <si>
    <t>M2 UNIDADES</t>
  </si>
  <si>
    <t>M2 VENDIBLES</t>
  </si>
  <si>
    <t>PRECIO POR M2</t>
  </si>
  <si>
    <t>PRECIO POR UNIDAD</t>
  </si>
  <si>
    <t>TOTAL USD$</t>
  </si>
  <si>
    <t>TOTAL US$</t>
  </si>
  <si>
    <t>ETAPA I</t>
  </si>
  <si>
    <t>FASE 1</t>
  </si>
  <si>
    <t>3 habitaciones</t>
  </si>
  <si>
    <t>FASE 2</t>
  </si>
  <si>
    <t>ETAPA II</t>
  </si>
  <si>
    <t>FASE 3</t>
  </si>
  <si>
    <t>Villas</t>
  </si>
  <si>
    <t>FASE 4</t>
  </si>
  <si>
    <t>TOTAL</t>
  </si>
  <si>
    <t>GASTOS</t>
  </si>
  <si>
    <t>S/Costos</t>
  </si>
  <si>
    <t>S/Ingresos</t>
  </si>
  <si>
    <t>SUELO</t>
  </si>
  <si>
    <t>COMERCIAL/APARTAMENTOS Y VILLAS</t>
  </si>
  <si>
    <t>DUPE</t>
  </si>
  <si>
    <t>TRANSFERENCIA TERRENO</t>
  </si>
  <si>
    <t>CONSTRUCCION</t>
  </si>
  <si>
    <t>EDIFICACION</t>
  </si>
  <si>
    <t>POLIZAS DE SEGUROS</t>
  </si>
  <si>
    <t>TECNICOS</t>
  </si>
  <si>
    <t>ARQUITECTONICOS</t>
  </si>
  <si>
    <t>TOPOGRAFIA</t>
  </si>
  <si>
    <t>TASACION</t>
  </si>
  <si>
    <t>PAVIMENTO</t>
  </si>
  <si>
    <t xml:space="preserve">HIDROLOGICO </t>
  </si>
  <si>
    <t>GEOTECNICO</t>
  </si>
  <si>
    <t>ACOMETIDAS</t>
  </si>
  <si>
    <t>JURIDICO</t>
  </si>
  <si>
    <t>ASESORIA LEGAL</t>
  </si>
  <si>
    <t>ADMIN. CONDOMINIO</t>
  </si>
  <si>
    <t>REGIMEN DE CONDOMINIO</t>
  </si>
  <si>
    <t>ITBIS</t>
  </si>
  <si>
    <t>FIDEICOMISO</t>
  </si>
  <si>
    <t>CONSTITUCION FIDEICOMISO</t>
  </si>
  <si>
    <t>CERTIFICADO DE GARANTIA</t>
  </si>
  <si>
    <t>COSTES FINANCIEROS</t>
  </si>
  <si>
    <t>INTERESES PRESTAMO INTERINO</t>
  </si>
  <si>
    <t>COSTOS BANCARIOS</t>
  </si>
  <si>
    <t>GESTION INTEGRAL</t>
  </si>
  <si>
    <t>HONORARIOS</t>
  </si>
  <si>
    <t>COMERCIALIZACION</t>
  </si>
  <si>
    <t>PARQUE DE VENTAS</t>
  </si>
  <si>
    <t>TOTAL GASTOS</t>
  </si>
  <si>
    <t>BENEFICIO ANTES DE IMPUESTOS</t>
  </si>
  <si>
    <t>BENEFICIO DESPUES DE IMPUESTOS</t>
  </si>
  <si>
    <t>Rentabilidad s/ingresos</t>
  </si>
  <si>
    <t>Rentabilidad s/gastos</t>
  </si>
  <si>
    <r>
      <rPr>
        <b/>
        <i/>
        <sz val="22"/>
        <color theme="1"/>
        <rFont val="Calibri"/>
        <family val="2"/>
      </rPr>
      <t xml:space="preserve">ESTUDIO DE FACTIBILIDAD RESIDENCIAL DON MEMENDO - </t>
    </r>
    <r>
      <rPr>
        <b/>
        <i/>
        <sz val="22"/>
        <color rgb="FFFF0000"/>
        <rFont val="Calibri"/>
        <family val="2"/>
      </rPr>
      <t>PNFF</t>
    </r>
    <r>
      <rPr>
        <b/>
        <i/>
        <sz val="22"/>
        <color theme="1"/>
        <rFont val="Calibri"/>
        <family val="2"/>
      </rPr>
      <t xml:space="preserve"> ( ETAPA I y ETAPA II)</t>
    </r>
  </si>
  <si>
    <t>TOTAL RD$</t>
  </si>
  <si>
    <t>2 habitaciones</t>
  </si>
  <si>
    <t>CUS</t>
  </si>
  <si>
    <t>M2</t>
  </si>
  <si>
    <t>PRECIO X M2</t>
  </si>
  <si>
    <t>TRANSFERENCIA SUELO</t>
  </si>
  <si>
    <t>INFRAESTRUCTURA</t>
  </si>
  <si>
    <t>IMPREVISTO</t>
  </si>
  <si>
    <t>ESTUDIO AMBIENTAL</t>
  </si>
  <si>
    <t>POZO</t>
  </si>
  <si>
    <t>INTERESES INVERSIONISTA</t>
  </si>
  <si>
    <t>INGENIERIA SHARP</t>
  </si>
  <si>
    <t xml:space="preserve">gestion </t>
  </si>
  <si>
    <t>Total</t>
  </si>
  <si>
    <t>C/U</t>
  </si>
  <si>
    <t>INVERSIONISTA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</si>
  <si>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</si>
  <si>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</si>
  <si>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</si>
  <si>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</si>
  <si>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</si>
  <si>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</si>
  <si>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</si>
  <si>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</si>
  <si>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</si>
  <si>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</si>
  <si>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</si>
  <si>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</si>
  <si>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</si>
  <si>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</si>
  <si>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</si>
  <si>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</si>
  <si>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</si>
  <si>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</si>
  <si>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</si>
  <si>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</si>
  <si>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</si>
  <si>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</si>
  <si>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</si>
  <si>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</si>
  <si>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</si>
  <si>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</si>
  <si>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</si>
  <si>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</si>
  <si>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</si>
  <si>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</si>
  <si>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</si>
  <si>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</si>
  <si>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</si>
  <si>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</si>
  <si>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</si>
  <si>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</si>
  <si>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MES 37</t>
  </si>
  <si>
    <t>MES 38</t>
  </si>
  <si>
    <t>MES 39</t>
  </si>
  <si>
    <t>MES 40</t>
  </si>
  <si>
    <t>MES 41</t>
  </si>
  <si>
    <t>MES 42</t>
  </si>
  <si>
    <t>MES 43</t>
  </si>
  <si>
    <t>MES 44</t>
  </si>
  <si>
    <t>MES 45</t>
  </si>
  <si>
    <t>MES 46</t>
  </si>
  <si>
    <t>MES 47</t>
  </si>
  <si>
    <t>MES 48</t>
  </si>
  <si>
    <t>MES 49</t>
  </si>
  <si>
    <t>MES 50</t>
  </si>
  <si>
    <t>MES 51</t>
  </si>
  <si>
    <t>MES 52</t>
  </si>
  <si>
    <t>MES 53</t>
  </si>
  <si>
    <t>MES 54</t>
  </si>
  <si>
    <t>MES 55</t>
  </si>
  <si>
    <t>MES 56</t>
  </si>
  <si>
    <t>MES 57</t>
  </si>
  <si>
    <t>MES 58</t>
  </si>
  <si>
    <t>MES 59</t>
  </si>
  <si>
    <t>MES 60</t>
  </si>
  <si>
    <t>MES 61</t>
  </si>
  <si>
    <t>VENTAS</t>
  </si>
  <si>
    <t>PORCENTAJE DE VENTAS</t>
  </si>
  <si>
    <t>SEPARACIONES</t>
  </si>
  <si>
    <t xml:space="preserve">INICIAL </t>
  </si>
  <si>
    <t>ENTREGAS</t>
  </si>
  <si>
    <t>BONO FONVIVIENDA</t>
  </si>
  <si>
    <t>FINANCIAMIENTO</t>
  </si>
  <si>
    <t>ACUMULADO</t>
  </si>
  <si>
    <t>TERRENO</t>
  </si>
  <si>
    <t>TRANSFERENCIA</t>
  </si>
  <si>
    <t>INFRAESTRUCTURA ETAPA I</t>
  </si>
  <si>
    <t>INFRAESTRUCTURA ETAPA II</t>
  </si>
  <si>
    <t>PAGO CUBICACIONES</t>
  </si>
  <si>
    <t>ADICIONAL</t>
  </si>
  <si>
    <t>AVANCE DE OBRA</t>
  </si>
  <si>
    <t>ARQUITECTURA</t>
  </si>
  <si>
    <t xml:space="preserve"> VIAL</t>
  </si>
  <si>
    <t>CONDOMINIO</t>
  </si>
  <si>
    <t>REGIMEN CONDOMINIO</t>
  </si>
  <si>
    <t>DEVOLUCION DE PRESTAMO</t>
  </si>
  <si>
    <t>HONORARIOS DE GESTION</t>
  </si>
  <si>
    <t>PROMOTOR</t>
  </si>
  <si>
    <t>COMISION REF</t>
  </si>
  <si>
    <t>ANTEPROYECTO</t>
  </si>
  <si>
    <t>COMISIONES ETAPA I</t>
  </si>
  <si>
    <t>FLUJO DE CAJA</t>
  </si>
  <si>
    <t>EQUITY PREVENTA</t>
  </si>
  <si>
    <t>EQUITY PROYECTO</t>
  </si>
  <si>
    <t>EQUIY</t>
  </si>
  <si>
    <t>FLUJO</t>
  </si>
  <si>
    <t>EQUITY INVERSIONISTA</t>
  </si>
  <si>
    <t>OK</t>
  </si>
  <si>
    <t>CASA CLUB{</t>
  </si>
  <si>
    <t>POLIZAS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</si>
</sst>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i/>
      <sz val="22"/>
      <color theme="1"/>
      <name val="Calibri"/>
      <family val="2"/>
    </font>
    <font>
      <b/>
      <i/>
      <sz val="22"/>
      <color rgb="FFFF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sz val="7"/>
      <color theme="1"/>
      <name val="Calibri"/>
      <family val="2"/>
    </font>
    <font>
      <b/>
      <i/>
      <sz val="9"/>
      <color theme="1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b/>
      <i/>
      <u/>
      <sz val="11"/>
      <color rgb="FFFFFFFF"/>
      <name val="Calibri"/>
      <family val="2"/>
    </font>
    <font>
      <b/>
      <i/>
      <sz val="9"/>
      <color rgb="FFFF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i/>
      <sz val="11"/>
      <color rgb="FFFF0000"/>
      <name val="Calibri"/>
      <family val="2"/>
    </font>
    <font>
      <b/>
      <i/>
      <u/>
      <sz val="11"/>
      <color theme="1"/>
      <name val="Calibri"/>
      <family val="2"/>
    </font>
    <font>
      <b/>
      <i/>
      <u/>
      <sz val="11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u/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4E79"/>
        <bgColor rgb="FF1E4E79"/>
      </patternFill>
    </fill>
    <fill>
      <patternFill patternType="solid">
        <fgColor rgb="FF1F3864"/>
        <bgColor rgb="FF1F3864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073763"/>
        <bgColor rgb="FF073763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D9E2F3"/>
      </patternFill>
    </fill>
    <fill>
      <patternFill patternType="solid">
        <fgColor rgb="FFFFC000"/>
        <bgColor rgb="FFFFC000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222">
    <xf numFmtId="0" fontId="0" fillId="0" borderId="0" xfId="0"/>
    <xf numFmtId="43" fontId="3" fillId="0" borderId="0" xfId="3" applyNumberFormat="1" applyFont="1" applyAlignment="1">
      <alignment horizontal="center" vertical="center"/>
    </xf>
    <xf numFmtId="0" fontId="2" fillId="0" borderId="0" xfId="3"/>
    <xf numFmtId="0" fontId="5" fillId="0" borderId="0" xfId="3" applyFont="1"/>
    <xf numFmtId="0" fontId="2" fillId="0" borderId="0" xfId="3"/>
    <xf numFmtId="0" fontId="6" fillId="0" borderId="1" xfId="3" applyFont="1" applyBorder="1"/>
    <xf numFmtId="43" fontId="5" fillId="0" borderId="0" xfId="3" applyNumberFormat="1" applyFont="1"/>
    <xf numFmtId="43" fontId="7" fillId="0" borderId="0" xfId="3" applyNumberFormat="1" applyFont="1" applyAlignment="1">
      <alignment horizontal="center"/>
    </xf>
    <xf numFmtId="43" fontId="7" fillId="0" borderId="0" xfId="3" applyNumberFormat="1" applyFont="1"/>
    <xf numFmtId="0" fontId="8" fillId="0" borderId="0" xfId="3" applyFont="1"/>
    <xf numFmtId="0" fontId="5" fillId="0" borderId="0" xfId="3" applyFont="1" applyAlignment="1">
      <alignment horizontal="center"/>
    </xf>
    <xf numFmtId="43" fontId="9" fillId="2" borderId="0" xfId="3" applyNumberFormat="1" applyFont="1" applyFill="1" applyAlignment="1">
      <alignment horizontal="center"/>
    </xf>
    <xf numFmtId="0" fontId="10" fillId="0" borderId="0" xfId="3" applyFont="1" applyAlignment="1">
      <alignment horizontal="center"/>
    </xf>
    <xf numFmtId="0" fontId="10" fillId="0" borderId="2" xfId="3" applyFont="1" applyBorder="1" applyAlignment="1">
      <alignment horizontal="center"/>
    </xf>
    <xf numFmtId="43" fontId="10" fillId="0" borderId="3" xfId="3" applyNumberFormat="1" applyFont="1" applyBorder="1" applyAlignment="1">
      <alignment horizontal="center"/>
    </xf>
    <xf numFmtId="43" fontId="5" fillId="0" borderId="0" xfId="3" applyNumberFormat="1" applyFont="1" applyAlignment="1">
      <alignment horizontal="center"/>
    </xf>
    <xf numFmtId="43" fontId="5" fillId="0" borderId="4" xfId="3" applyNumberFormat="1" applyFont="1" applyBorder="1" applyAlignment="1">
      <alignment horizontal="center"/>
    </xf>
    <xf numFmtId="43" fontId="5" fillId="0" borderId="5" xfId="3" applyNumberFormat="1" applyFont="1" applyBorder="1" applyAlignment="1">
      <alignment horizontal="center"/>
    </xf>
    <xf numFmtId="0" fontId="11" fillId="0" borderId="0" xfId="3" applyFont="1" applyAlignment="1">
      <alignment horizontal="center"/>
    </xf>
    <xf numFmtId="12" fontId="5" fillId="0" borderId="0" xfId="3" applyNumberFormat="1" applyFont="1" applyAlignment="1">
      <alignment horizontal="center"/>
    </xf>
    <xf numFmtId="4" fontId="5" fillId="0" borderId="0" xfId="3" applyNumberFormat="1" applyFont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5" fillId="0" borderId="0" xfId="3" applyFont="1" applyAlignment="1">
      <alignment horizontal="center" vertical="center"/>
    </xf>
    <xf numFmtId="0" fontId="12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43" fontId="5" fillId="0" borderId="6" xfId="3" applyNumberFormat="1" applyFont="1" applyBorder="1" applyAlignment="1">
      <alignment horizontal="center" vertical="center"/>
    </xf>
    <xf numFmtId="43" fontId="5" fillId="0" borderId="7" xfId="3" applyNumberFormat="1" applyFont="1" applyBorder="1" applyAlignment="1">
      <alignment horizontal="center" vertical="center"/>
    </xf>
    <xf numFmtId="43" fontId="5" fillId="0" borderId="8" xfId="3" applyNumberFormat="1" applyFont="1" applyBorder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43" fontId="5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43" fontId="5" fillId="0" borderId="4" xfId="3" applyNumberFormat="1" applyFont="1" applyBorder="1" applyAlignment="1">
      <alignment horizontal="center" vertical="center"/>
    </xf>
    <xf numFmtId="43" fontId="5" fillId="0" borderId="5" xfId="3" applyNumberFormat="1" applyFont="1" applyBorder="1" applyAlignment="1">
      <alignment horizontal="center" vertical="center"/>
    </xf>
    <xf numFmtId="0" fontId="12" fillId="0" borderId="0" xfId="3" applyFont="1" applyAlignment="1">
      <alignment horizontal="center"/>
    </xf>
    <xf numFmtId="0" fontId="12" fillId="0" borderId="9" xfId="3" applyFont="1" applyBorder="1" applyAlignment="1">
      <alignment horizontal="center" vertical="center"/>
    </xf>
    <xf numFmtId="43" fontId="5" fillId="0" borderId="9" xfId="3" applyNumberFormat="1" applyFont="1" applyBorder="1" applyAlignment="1">
      <alignment horizontal="center"/>
    </xf>
    <xf numFmtId="0" fontId="13" fillId="3" borderId="0" xfId="3" applyFont="1" applyFill="1" applyAlignment="1">
      <alignment horizontal="center"/>
    </xf>
    <xf numFmtId="12" fontId="13" fillId="3" borderId="0" xfId="3" applyNumberFormat="1" applyFont="1" applyFill="1" applyAlignment="1">
      <alignment horizontal="center"/>
    </xf>
    <xf numFmtId="43" fontId="13" fillId="3" borderId="0" xfId="3" applyNumberFormat="1" applyFont="1" applyFill="1" applyAlignment="1">
      <alignment horizontal="center"/>
    </xf>
    <xf numFmtId="4" fontId="13" fillId="3" borderId="4" xfId="3" applyNumberFormat="1" applyFont="1" applyFill="1" applyBorder="1" applyAlignment="1">
      <alignment horizontal="center"/>
    </xf>
    <xf numFmtId="43" fontId="13" fillId="3" borderId="5" xfId="3" applyNumberFormat="1" applyFont="1" applyFill="1" applyBorder="1" applyAlignment="1">
      <alignment horizontal="center"/>
    </xf>
    <xf numFmtId="43" fontId="5" fillId="0" borderId="5" xfId="3" applyNumberFormat="1" applyFont="1" applyBorder="1"/>
    <xf numFmtId="12" fontId="5" fillId="0" borderId="0" xfId="3" applyNumberFormat="1" applyFont="1"/>
    <xf numFmtId="13" fontId="5" fillId="0" borderId="0" xfId="3" applyNumberFormat="1" applyFont="1"/>
    <xf numFmtId="0" fontId="5" fillId="0" borderId="4" xfId="3" applyFont="1" applyBorder="1"/>
    <xf numFmtId="0" fontId="14" fillId="0" borderId="0" xfId="3" applyFont="1" applyAlignment="1">
      <alignment horizontal="center"/>
    </xf>
    <xf numFmtId="0" fontId="14" fillId="0" borderId="4" xfId="3" applyFont="1" applyBorder="1" applyAlignment="1">
      <alignment horizontal="center"/>
    </xf>
    <xf numFmtId="43" fontId="14" fillId="0" borderId="5" xfId="3" applyNumberFormat="1" applyFont="1" applyBorder="1" applyAlignment="1">
      <alignment horizontal="center"/>
    </xf>
    <xf numFmtId="43" fontId="14" fillId="0" borderId="0" xfId="3" applyNumberFormat="1" applyFont="1" applyAlignment="1">
      <alignment horizontal="center"/>
    </xf>
    <xf numFmtId="0" fontId="15" fillId="0" borderId="0" xfId="3" applyFont="1" applyAlignment="1">
      <alignment horizontal="center"/>
    </xf>
    <xf numFmtId="0" fontId="16" fillId="4" borderId="0" xfId="3" applyFont="1" applyFill="1" applyAlignment="1">
      <alignment horizontal="center"/>
    </xf>
    <xf numFmtId="0" fontId="15" fillId="4" borderId="0" xfId="3" applyFont="1" applyFill="1" applyAlignment="1">
      <alignment horizontal="center"/>
    </xf>
    <xf numFmtId="43" fontId="15" fillId="4" borderId="0" xfId="3" applyNumberFormat="1" applyFont="1" applyFill="1" applyAlignment="1">
      <alignment horizontal="center"/>
    </xf>
    <xf numFmtId="43" fontId="15" fillId="4" borderId="4" xfId="3" applyNumberFormat="1" applyFont="1" applyFill="1" applyBorder="1" applyAlignment="1">
      <alignment horizontal="center"/>
    </xf>
    <xf numFmtId="43" fontId="15" fillId="4" borderId="5" xfId="3" applyNumberFormat="1" applyFont="1" applyFill="1" applyBorder="1" applyAlignment="1">
      <alignment horizontal="center"/>
    </xf>
    <xf numFmtId="9" fontId="15" fillId="4" borderId="0" xfId="3" applyNumberFormat="1" applyFont="1" applyFill="1" applyAlignment="1">
      <alignment horizontal="center"/>
    </xf>
    <xf numFmtId="43" fontId="15" fillId="0" borderId="0" xfId="3" applyNumberFormat="1" applyFont="1" applyAlignment="1">
      <alignment horizontal="center"/>
    </xf>
    <xf numFmtId="9" fontId="7" fillId="0" borderId="0" xfId="3" applyNumberFormat="1" applyFont="1"/>
    <xf numFmtId="9" fontId="7" fillId="0" borderId="0" xfId="3" applyNumberFormat="1" applyFont="1" applyAlignment="1">
      <alignment horizontal="center"/>
    </xf>
    <xf numFmtId="43" fontId="7" fillId="0" borderId="0" xfId="1" applyFont="1"/>
    <xf numFmtId="9" fontId="5" fillId="0" borderId="0" xfId="3" applyNumberFormat="1" applyFont="1" applyAlignment="1">
      <alignment horizontal="center"/>
    </xf>
    <xf numFmtId="43" fontId="5" fillId="0" borderId="4" xfId="3" applyNumberFormat="1" applyFont="1" applyBorder="1"/>
    <xf numFmtId="0" fontId="16" fillId="0" borderId="0" xfId="3" applyFont="1" applyAlignment="1">
      <alignment horizontal="center"/>
    </xf>
    <xf numFmtId="9" fontId="15" fillId="0" borderId="0" xfId="3" applyNumberFormat="1" applyFont="1" applyAlignment="1">
      <alignment horizontal="center"/>
    </xf>
    <xf numFmtId="0" fontId="17" fillId="0" borderId="0" xfId="3" applyFont="1" applyAlignment="1">
      <alignment horizontal="center"/>
    </xf>
    <xf numFmtId="4" fontId="15" fillId="0" borderId="0" xfId="3" applyNumberFormat="1" applyFont="1" applyAlignment="1">
      <alignment horizontal="center"/>
    </xf>
    <xf numFmtId="43" fontId="17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4" fontId="7" fillId="0" borderId="0" xfId="3" applyNumberFormat="1" applyFont="1" applyAlignment="1">
      <alignment horizontal="center"/>
    </xf>
    <xf numFmtId="0" fontId="7" fillId="0" borderId="0" xfId="3" applyFont="1" applyAlignment="1">
      <alignment horizontal="center"/>
    </xf>
    <xf numFmtId="0" fontId="5" fillId="0" borderId="0" xfId="3" applyFont="1" applyAlignment="1">
      <alignment horizontal="right"/>
    </xf>
    <xf numFmtId="10" fontId="5" fillId="0" borderId="0" xfId="3" applyNumberFormat="1" applyFont="1" applyAlignment="1">
      <alignment horizontal="center"/>
    </xf>
    <xf numFmtId="164" fontId="5" fillId="0" borderId="0" xfId="3" applyNumberFormat="1" applyFont="1"/>
    <xf numFmtId="4" fontId="5" fillId="0" borderId="0" xfId="3" applyNumberFormat="1" applyFont="1"/>
    <xf numFmtId="0" fontId="5" fillId="0" borderId="0" xfId="3" applyFont="1" applyAlignment="1">
      <alignment horizontal="left"/>
    </xf>
    <xf numFmtId="164" fontId="5" fillId="0" borderId="0" xfId="3" applyNumberFormat="1" applyFont="1" applyAlignment="1">
      <alignment horizontal="center"/>
    </xf>
    <xf numFmtId="0" fontId="18" fillId="0" borderId="0" xfId="3" applyFont="1" applyAlignment="1">
      <alignment horizontal="right"/>
    </xf>
    <xf numFmtId="164" fontId="19" fillId="0" borderId="0" xfId="3" applyNumberFormat="1" applyFont="1" applyAlignment="1">
      <alignment horizontal="center"/>
    </xf>
    <xf numFmtId="0" fontId="19" fillId="0" borderId="0" xfId="3" applyFont="1" applyAlignment="1">
      <alignment horizontal="center"/>
    </xf>
    <xf numFmtId="0" fontId="7" fillId="0" borderId="0" xfId="3" applyFont="1"/>
    <xf numFmtId="43" fontId="7" fillId="0" borderId="4" xfId="3" applyNumberFormat="1" applyFont="1" applyBorder="1"/>
    <xf numFmtId="43" fontId="7" fillId="0" borderId="5" xfId="3" applyNumberFormat="1" applyFont="1" applyBorder="1"/>
    <xf numFmtId="43" fontId="5" fillId="0" borderId="0" xfId="3" applyNumberFormat="1" applyFont="1" applyAlignment="1">
      <alignment horizontal="left"/>
    </xf>
    <xf numFmtId="43" fontId="5" fillId="0" borderId="5" xfId="3" applyNumberFormat="1" applyFont="1" applyBorder="1" applyAlignment="1">
      <alignment horizontal="left"/>
    </xf>
    <xf numFmtId="9" fontId="7" fillId="0" borderId="0" xfId="3" applyNumberFormat="1" applyFont="1" applyAlignment="1">
      <alignment horizontal="left"/>
    </xf>
    <xf numFmtId="10" fontId="19" fillId="0" borderId="0" xfId="3" applyNumberFormat="1" applyFont="1" applyAlignment="1">
      <alignment horizontal="center"/>
    </xf>
    <xf numFmtId="9" fontId="19" fillId="0" borderId="0" xfId="3" applyNumberFormat="1" applyFont="1" applyAlignment="1">
      <alignment horizontal="center"/>
    </xf>
    <xf numFmtId="43" fontId="5" fillId="0" borderId="4" xfId="3" applyNumberFormat="1" applyFont="1" applyBorder="1" applyAlignment="1">
      <alignment horizontal="left"/>
    </xf>
    <xf numFmtId="4" fontId="17" fillId="0" borderId="0" xfId="3" applyNumberFormat="1" applyFont="1" applyAlignment="1">
      <alignment horizontal="center"/>
    </xf>
    <xf numFmtId="0" fontId="13" fillId="3" borderId="0" xfId="3" applyFont="1" applyFill="1" applyAlignment="1">
      <alignment horizontal="center"/>
    </xf>
    <xf numFmtId="0" fontId="6" fillId="0" borderId="0" xfId="3" applyFont="1"/>
    <xf numFmtId="43" fontId="13" fillId="3" borderId="4" xfId="3" applyNumberFormat="1" applyFont="1" applyFill="1" applyBorder="1"/>
    <xf numFmtId="43" fontId="15" fillId="3" borderId="5" xfId="3" applyNumberFormat="1" applyFont="1" applyFill="1" applyBorder="1"/>
    <xf numFmtId="0" fontId="13" fillId="4" borderId="0" xfId="3" applyFont="1" applyFill="1" applyAlignment="1">
      <alignment horizontal="center"/>
    </xf>
    <xf numFmtId="43" fontId="13" fillId="4" borderId="7" xfId="3" applyNumberFormat="1" applyFont="1" applyFill="1" applyBorder="1"/>
    <xf numFmtId="43" fontId="13" fillId="4" borderId="10" xfId="3" applyNumberFormat="1" applyFont="1" applyFill="1" applyBorder="1"/>
    <xf numFmtId="43" fontId="13" fillId="4" borderId="11" xfId="3" applyNumberFormat="1" applyFont="1" applyFill="1" applyBorder="1"/>
    <xf numFmtId="10" fontId="7" fillId="5" borderId="4" xfId="3" applyNumberFormat="1" applyFont="1" applyFill="1" applyBorder="1"/>
    <xf numFmtId="43" fontId="7" fillId="5" borderId="0" xfId="3" applyNumberFormat="1" applyFont="1" applyFill="1"/>
    <xf numFmtId="10" fontId="7" fillId="5" borderId="11" xfId="3" applyNumberFormat="1" applyFont="1" applyFill="1" applyBorder="1"/>
    <xf numFmtId="43" fontId="20" fillId="0" borderId="0" xfId="3" applyNumberFormat="1" applyFont="1"/>
    <xf numFmtId="9" fontId="5" fillId="0" borderId="0" xfId="3" applyNumberFormat="1" applyFont="1"/>
    <xf numFmtId="0" fontId="20" fillId="0" borderId="0" xfId="3" applyFont="1" applyAlignment="1">
      <alignment horizontal="center"/>
    </xf>
    <xf numFmtId="43" fontId="21" fillId="0" borderId="0" xfId="3" applyNumberFormat="1" applyFont="1" applyAlignment="1">
      <alignment horizontal="center"/>
    </xf>
    <xf numFmtId="164" fontId="20" fillId="0" borderId="0" xfId="3" applyNumberFormat="1" applyFont="1" applyAlignment="1">
      <alignment horizontal="center"/>
    </xf>
    <xf numFmtId="43" fontId="22" fillId="0" borderId="0" xfId="3" applyNumberFormat="1" applyFont="1" applyAlignment="1">
      <alignment horizontal="center"/>
    </xf>
    <xf numFmtId="0" fontId="5" fillId="6" borderId="0" xfId="3" applyFont="1" applyFill="1"/>
    <xf numFmtId="43" fontId="23" fillId="0" borderId="0" xfId="3" applyNumberFormat="1" applyFont="1" applyAlignment="1">
      <alignment horizontal="center"/>
    </xf>
    <xf numFmtId="43" fontId="20" fillId="0" borderId="0" xfId="3" applyNumberFormat="1" applyFont="1" applyAlignment="1">
      <alignment horizontal="center"/>
    </xf>
    <xf numFmtId="4" fontId="7" fillId="0" borderId="0" xfId="3" applyNumberFormat="1" applyFont="1"/>
    <xf numFmtId="9" fontId="7" fillId="0" borderId="0" xfId="3" applyNumberFormat="1" applyFont="1" applyAlignment="1">
      <alignment horizontal="right"/>
    </xf>
    <xf numFmtId="9" fontId="20" fillId="0" borderId="0" xfId="3" applyNumberFormat="1" applyFont="1" applyAlignment="1">
      <alignment horizontal="center"/>
    </xf>
    <xf numFmtId="43" fontId="24" fillId="0" borderId="0" xfId="3" applyNumberFormat="1" applyFont="1" applyAlignment="1">
      <alignment horizontal="center"/>
    </xf>
    <xf numFmtId="43" fontId="13" fillId="0" borderId="0" xfId="3" applyNumberFormat="1" applyFont="1" applyAlignment="1">
      <alignment horizontal="center"/>
    </xf>
    <xf numFmtId="43" fontId="16" fillId="0" borderId="0" xfId="3" applyNumberFormat="1" applyFont="1" applyAlignment="1">
      <alignment horizontal="center"/>
    </xf>
    <xf numFmtId="43" fontId="25" fillId="0" borderId="0" xfId="3" applyNumberFormat="1" applyFont="1" applyAlignment="1">
      <alignment horizontal="center"/>
    </xf>
    <xf numFmtId="0" fontId="10" fillId="0" borderId="12" xfId="3" applyFont="1" applyBorder="1" applyAlignment="1">
      <alignment horizontal="center"/>
    </xf>
    <xf numFmtId="43" fontId="10" fillId="0" borderId="2" xfId="3" applyNumberFormat="1" applyFont="1" applyBorder="1" applyAlignment="1">
      <alignment horizontal="center"/>
    </xf>
    <xf numFmtId="43" fontId="5" fillId="0" borderId="0" xfId="3" applyNumberFormat="1" applyFont="1" applyAlignment="1">
      <alignment horizontal="center"/>
    </xf>
    <xf numFmtId="43" fontId="5" fillId="0" borderId="13" xfId="3" applyNumberFormat="1" applyFont="1" applyBorder="1" applyAlignment="1">
      <alignment horizontal="center"/>
    </xf>
    <xf numFmtId="165" fontId="5" fillId="0" borderId="0" xfId="3" applyNumberFormat="1" applyFont="1"/>
    <xf numFmtId="4" fontId="5" fillId="0" borderId="13" xfId="3" applyNumberFormat="1" applyFont="1" applyBorder="1" applyAlignment="1">
      <alignment horizontal="center"/>
    </xf>
    <xf numFmtId="165" fontId="5" fillId="0" borderId="0" xfId="3" applyNumberFormat="1" applyFont="1" applyAlignment="1">
      <alignment horizontal="center"/>
    </xf>
    <xf numFmtId="0" fontId="12" fillId="0" borderId="0" xfId="3" applyFont="1" applyAlignment="1">
      <alignment horizontal="center" vertical="center"/>
    </xf>
    <xf numFmtId="43" fontId="5" fillId="0" borderId="13" xfId="3" applyNumberFormat="1" applyFont="1" applyBorder="1" applyAlignment="1">
      <alignment horizontal="center" vertical="center"/>
    </xf>
    <xf numFmtId="165" fontId="5" fillId="0" borderId="0" xfId="3" applyNumberFormat="1" applyFont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43" fontId="5" fillId="0" borderId="1" xfId="3" applyNumberFormat="1" applyFont="1" applyBorder="1" applyAlignment="1">
      <alignment horizontal="center" vertical="center"/>
    </xf>
    <xf numFmtId="43" fontId="5" fillId="0" borderId="14" xfId="3" applyNumberFormat="1" applyFont="1" applyBorder="1" applyAlignment="1">
      <alignment horizontal="center" vertical="center"/>
    </xf>
    <xf numFmtId="43" fontId="5" fillId="0" borderId="11" xfId="3" applyNumberFormat="1" applyFont="1" applyBorder="1" applyAlignment="1">
      <alignment horizontal="center" vertical="center"/>
    </xf>
    <xf numFmtId="0" fontId="6" fillId="0" borderId="6" xfId="3" applyFont="1" applyBorder="1"/>
    <xf numFmtId="43" fontId="5" fillId="0" borderId="6" xfId="3" applyNumberFormat="1" applyFont="1" applyBorder="1" applyAlignment="1">
      <alignment horizontal="center"/>
    </xf>
    <xf numFmtId="4" fontId="13" fillId="3" borderId="13" xfId="3" applyNumberFormat="1" applyFont="1" applyFill="1" applyBorder="1" applyAlignment="1">
      <alignment horizontal="center"/>
    </xf>
    <xf numFmtId="43" fontId="13" fillId="3" borderId="4" xfId="3" applyNumberFormat="1" applyFont="1" applyFill="1" applyBorder="1" applyAlignment="1">
      <alignment horizontal="center"/>
    </xf>
    <xf numFmtId="0" fontId="5" fillId="0" borderId="13" xfId="3" applyFont="1" applyBorder="1"/>
    <xf numFmtId="0" fontId="14" fillId="0" borderId="13" xfId="3" applyFont="1" applyBorder="1" applyAlignment="1">
      <alignment horizontal="center"/>
    </xf>
    <xf numFmtId="43" fontId="14" fillId="0" borderId="4" xfId="3" applyNumberFormat="1" applyFont="1" applyBorder="1" applyAlignment="1">
      <alignment horizontal="center"/>
    </xf>
    <xf numFmtId="43" fontId="15" fillId="4" borderId="15" xfId="3" applyNumberFormat="1" applyFont="1" applyFill="1" applyBorder="1" applyAlignment="1">
      <alignment horizontal="center"/>
    </xf>
    <xf numFmtId="43" fontId="5" fillId="0" borderId="13" xfId="3" applyNumberFormat="1" applyFont="1" applyBorder="1"/>
    <xf numFmtId="43" fontId="19" fillId="0" borderId="0" xfId="3" applyNumberFormat="1" applyFont="1"/>
    <xf numFmtId="9" fontId="5" fillId="0" borderId="4" xfId="2" applyFont="1" applyBorder="1"/>
    <xf numFmtId="43" fontId="7" fillId="0" borderId="13" xfId="3" applyNumberFormat="1" applyFont="1" applyBorder="1"/>
    <xf numFmtId="43" fontId="5" fillId="0" borderId="13" xfId="3" applyNumberFormat="1" applyFont="1" applyBorder="1" applyAlignment="1">
      <alignment horizontal="left"/>
    </xf>
    <xf numFmtId="43" fontId="5" fillId="0" borderId="0" xfId="1" applyFont="1"/>
    <xf numFmtId="43" fontId="15" fillId="4" borderId="13" xfId="3" applyNumberFormat="1" applyFont="1" applyFill="1" applyBorder="1" applyAlignment="1">
      <alignment horizontal="center"/>
    </xf>
    <xf numFmtId="43" fontId="15" fillId="0" borderId="4" xfId="3" applyNumberFormat="1" applyFont="1" applyBorder="1" applyAlignment="1">
      <alignment horizontal="center"/>
    </xf>
    <xf numFmtId="43" fontId="13" fillId="3" borderId="13" xfId="3" applyNumberFormat="1" applyFont="1" applyFill="1" applyBorder="1"/>
    <xf numFmtId="43" fontId="15" fillId="3" borderId="4" xfId="3" applyNumberFormat="1" applyFont="1" applyFill="1" applyBorder="1"/>
    <xf numFmtId="0" fontId="7" fillId="0" borderId="0" xfId="3" applyFont="1" applyAlignment="1">
      <alignment horizontal="center"/>
    </xf>
    <xf numFmtId="43" fontId="13" fillId="4" borderId="16" xfId="3" applyNumberFormat="1" applyFont="1" applyFill="1" applyBorder="1"/>
    <xf numFmtId="10" fontId="7" fillId="5" borderId="0" xfId="3" applyNumberFormat="1" applyFont="1" applyFill="1"/>
    <xf numFmtId="43" fontId="7" fillId="0" borderId="0" xfId="3" applyNumberFormat="1" applyFont="1" applyAlignment="1">
      <alignment horizontal="center"/>
    </xf>
    <xf numFmtId="10" fontId="16" fillId="7" borderId="17" xfId="3" applyNumberFormat="1" applyFont="1" applyFill="1" applyBorder="1" applyAlignment="1">
      <alignment horizontal="center"/>
    </xf>
    <xf numFmtId="43" fontId="7" fillId="0" borderId="17" xfId="3" applyNumberFormat="1" applyFont="1" applyBorder="1" applyAlignment="1">
      <alignment horizontal="center"/>
    </xf>
    <xf numFmtId="0" fontId="16" fillId="7" borderId="17" xfId="3" applyFont="1" applyFill="1" applyBorder="1" applyAlignment="1">
      <alignment horizontal="center"/>
    </xf>
    <xf numFmtId="43" fontId="18" fillId="0" borderId="0" xfId="3" applyNumberFormat="1" applyFont="1"/>
    <xf numFmtId="43" fontId="16" fillId="0" borderId="0" xfId="3" applyNumberFormat="1" applyFont="1"/>
    <xf numFmtId="43" fontId="5" fillId="6" borderId="0" xfId="3" applyNumberFormat="1" applyFont="1" applyFill="1"/>
    <xf numFmtId="43" fontId="5" fillId="0" borderId="0" xfId="1" applyFont="1" applyAlignment="1">
      <alignment horizontal="center"/>
    </xf>
    <xf numFmtId="9" fontId="5" fillId="0" borderId="0" xfId="2" applyFont="1"/>
    <xf numFmtId="10" fontId="7" fillId="0" borderId="0" xfId="2" applyNumberFormat="1" applyFont="1" applyAlignment="1">
      <alignment horizontal="center"/>
    </xf>
    <xf numFmtId="43" fontId="0" fillId="0" borderId="0" xfId="1" applyFont="1"/>
    <xf numFmtId="0" fontId="5" fillId="0" borderId="0" xfId="3" applyFont="1" applyFill="1"/>
    <xf numFmtId="43" fontId="5" fillId="0" borderId="0" xfId="3" applyNumberFormat="1" applyFont="1" applyFill="1"/>
    <xf numFmtId="43" fontId="5" fillId="0" borderId="0" xfId="3" applyNumberFormat="1" applyFont="1" applyFill="1" applyAlignment="1">
      <alignment horizontal="center"/>
    </xf>
    <xf numFmtId="0" fontId="5" fillId="0" borderId="0" xfId="3" applyFont="1" applyFill="1" applyAlignment="1">
      <alignment horizontal="center"/>
    </xf>
    <xf numFmtId="0" fontId="7" fillId="0" borderId="0" xfId="3" applyFont="1" applyFill="1" applyAlignment="1">
      <alignment horizontal="center"/>
    </xf>
    <xf numFmtId="165" fontId="5" fillId="0" borderId="0" xfId="3" applyNumberFormat="1" applyFont="1" applyFill="1" applyAlignment="1">
      <alignment horizontal="center"/>
    </xf>
    <xf numFmtId="43" fontId="5" fillId="0" borderId="0" xfId="3" applyNumberFormat="1" applyFont="1" applyFill="1" applyAlignment="1">
      <alignment horizontal="center" vertical="center"/>
    </xf>
    <xf numFmtId="0" fontId="5" fillId="0" borderId="0" xfId="3" applyFont="1" applyFill="1" applyAlignment="1">
      <alignment horizontal="center" vertical="center"/>
    </xf>
    <xf numFmtId="0" fontId="7" fillId="0" borderId="0" xfId="3" applyFont="1" applyFill="1" applyAlignment="1">
      <alignment horizontal="center" vertical="center"/>
    </xf>
    <xf numFmtId="165" fontId="5" fillId="0" borderId="0" xfId="3" applyNumberFormat="1" applyFont="1" applyFill="1" applyAlignment="1">
      <alignment horizontal="center" vertical="center"/>
    </xf>
    <xf numFmtId="13" fontId="5" fillId="0" borderId="0" xfId="3" applyNumberFormat="1" applyFont="1" applyFill="1"/>
    <xf numFmtId="0" fontId="15" fillId="0" borderId="0" xfId="3" applyFont="1" applyFill="1" applyAlignment="1">
      <alignment horizontal="center"/>
    </xf>
    <xf numFmtId="43" fontId="19" fillId="0" borderId="0" xfId="3" applyNumberFormat="1" applyFont="1" applyFill="1" applyAlignment="1">
      <alignment horizontal="center"/>
    </xf>
    <xf numFmtId="43" fontId="7" fillId="0" borderId="0" xfId="3" applyNumberFormat="1" applyFont="1" applyFill="1" applyAlignment="1">
      <alignment horizontal="center"/>
    </xf>
    <xf numFmtId="43" fontId="17" fillId="0" borderId="0" xfId="3" applyNumberFormat="1" applyFont="1" applyFill="1" applyAlignment="1">
      <alignment horizontal="center"/>
    </xf>
    <xf numFmtId="43" fontId="11" fillId="0" borderId="0" xfId="3" applyNumberFormat="1" applyFont="1" applyFill="1" applyAlignment="1">
      <alignment horizontal="center"/>
    </xf>
    <xf numFmtId="43" fontId="15" fillId="0" borderId="0" xfId="3" applyNumberFormat="1" applyFont="1" applyFill="1" applyAlignment="1">
      <alignment horizontal="center"/>
    </xf>
    <xf numFmtId="0" fontId="17" fillId="0" borderId="0" xfId="3" applyFont="1" applyFill="1" applyAlignment="1">
      <alignment horizontal="center"/>
    </xf>
    <xf numFmtId="9" fontId="17" fillId="0" borderId="0" xfId="3" applyNumberFormat="1" applyFont="1" applyFill="1" applyAlignment="1">
      <alignment horizontal="center"/>
    </xf>
    <xf numFmtId="43" fontId="7" fillId="0" borderId="0" xfId="1" applyFont="1" applyFill="1" applyAlignment="1">
      <alignment horizontal="center"/>
    </xf>
    <xf numFmtId="4" fontId="15" fillId="0" borderId="0" xfId="3" applyNumberFormat="1" applyFont="1" applyFill="1" applyAlignment="1">
      <alignment horizontal="center"/>
    </xf>
    <xf numFmtId="4" fontId="5" fillId="0" borderId="0" xfId="3" applyNumberFormat="1" applyFont="1" applyFill="1"/>
    <xf numFmtId="0" fontId="2" fillId="0" borderId="0" xfId="3" applyFill="1"/>
    <xf numFmtId="0" fontId="28" fillId="0" borderId="0" xfId="3" applyFont="1" applyAlignment="1">
      <alignment horizontal="center"/>
    </xf>
    <xf numFmtId="0" fontId="22" fillId="4" borderId="0" xfId="3" applyFont="1" applyFill="1"/>
    <xf numFmtId="14" fontId="22" fillId="4" borderId="0" xfId="3" applyNumberFormat="1" applyFont="1" applyFill="1"/>
    <xf numFmtId="14" fontId="22" fillId="0" borderId="0" xfId="3" applyNumberFormat="1" applyFont="1"/>
    <xf numFmtId="0" fontId="5" fillId="8" borderId="0" xfId="3" applyFont="1" applyFill="1" applyAlignment="1">
      <alignment horizontal="center"/>
    </xf>
    <xf numFmtId="43" fontId="5" fillId="8" borderId="0" xfId="3" applyNumberFormat="1" applyFont="1" applyFill="1" applyAlignment="1">
      <alignment horizontal="center"/>
    </xf>
    <xf numFmtId="0" fontId="5" fillId="8" borderId="0" xfId="3" applyFont="1" applyFill="1" applyAlignment="1">
      <alignment horizontal="center"/>
    </xf>
    <xf numFmtId="9" fontId="5" fillId="8" borderId="0" xfId="3" applyNumberFormat="1" applyFont="1" applyFill="1" applyAlignment="1">
      <alignment horizontal="center"/>
    </xf>
    <xf numFmtId="43" fontId="21" fillId="4" borderId="0" xfId="3" applyNumberFormat="1" applyFont="1" applyFill="1"/>
    <xf numFmtId="43" fontId="2" fillId="0" borderId="0" xfId="3" applyNumberFormat="1"/>
    <xf numFmtId="43" fontId="21" fillId="0" borderId="0" xfId="3" applyNumberFormat="1" applyFont="1"/>
    <xf numFmtId="0" fontId="21" fillId="4" borderId="0" xfId="3" applyFont="1" applyFill="1"/>
    <xf numFmtId="43" fontId="7" fillId="9" borderId="0" xfId="3" applyNumberFormat="1" applyFont="1" applyFill="1"/>
    <xf numFmtId="43" fontId="7" fillId="2" borderId="0" xfId="3" applyNumberFormat="1" applyFont="1" applyFill="1"/>
    <xf numFmtId="43" fontId="5" fillId="0" borderId="0" xfId="3" applyNumberFormat="1" applyFont="1" applyAlignment="1">
      <alignment vertical="center" wrapText="1"/>
    </xf>
    <xf numFmtId="0" fontId="5" fillId="0" borderId="0" xfId="3" applyFont="1" applyAlignment="1">
      <alignment vertical="center" wrapText="1"/>
    </xf>
    <xf numFmtId="43" fontId="5" fillId="4" borderId="0" xfId="3" applyNumberFormat="1" applyFont="1" applyFill="1"/>
    <xf numFmtId="43" fontId="5" fillId="2" borderId="0" xfId="3" applyNumberFormat="1" applyFont="1" applyFill="1"/>
    <xf numFmtId="9" fontId="5" fillId="10" borderId="0" xfId="3" applyNumberFormat="1" applyFont="1" applyFill="1"/>
    <xf numFmtId="43" fontId="2" fillId="11" borderId="0" xfId="3" applyNumberFormat="1" applyFill="1"/>
    <xf numFmtId="43" fontId="5" fillId="12" borderId="0" xfId="3" applyNumberFormat="1" applyFont="1" applyFill="1"/>
    <xf numFmtId="43" fontId="5" fillId="13" borderId="0" xfId="3" applyNumberFormat="1" applyFont="1" applyFill="1"/>
    <xf numFmtId="0" fontId="1" fillId="0" borderId="0" xfId="3" applyFont="1"/>
    <xf numFmtId="0" fontId="21" fillId="0" borderId="0" xfId="3" applyFont="1"/>
    <xf numFmtId="43" fontId="29" fillId="9" borderId="0" xfId="3" applyNumberFormat="1" applyFont="1" applyFill="1"/>
    <xf numFmtId="43" fontId="29" fillId="14" borderId="0" xfId="3" applyNumberFormat="1" applyFont="1" applyFill="1"/>
    <xf numFmtId="0" fontId="7" fillId="15" borderId="0" xfId="3" applyFont="1" applyFill="1" applyAlignment="1">
      <alignment horizontal="center"/>
    </xf>
    <xf numFmtId="43" fontId="7" fillId="15" borderId="0" xfId="3" applyNumberFormat="1" applyFont="1" applyFill="1"/>
    <xf numFmtId="43" fontId="29" fillId="0" borderId="0" xfId="3" applyNumberFormat="1" applyFont="1"/>
    <xf numFmtId="0" fontId="21" fillId="4" borderId="0" xfId="3" applyFont="1" applyFill="1" applyAlignment="1">
      <alignment horizontal="center"/>
    </xf>
    <xf numFmtId="0" fontId="22" fillId="4" borderId="0" xfId="3" applyFont="1" applyFill="1" applyAlignment="1">
      <alignment horizontal="center"/>
    </xf>
    <xf numFmtId="43" fontId="22" fillId="4" borderId="0" xfId="3" applyNumberFormat="1" applyFont="1" applyFill="1" applyAlignment="1">
      <alignment horizontal="center"/>
    </xf>
    <xf numFmtId="43" fontId="21" fillId="4" borderId="0" xfId="3" applyNumberFormat="1" applyFont="1" applyFill="1" applyAlignment="1">
      <alignment horizontal="center"/>
    </xf>
    <xf numFmtId="0" fontId="7" fillId="15" borderId="0" xfId="3" applyFont="1" applyFill="1"/>
    <xf numFmtId="10" fontId="5" fillId="0" borderId="0" xfId="3" applyNumberFormat="1" applyFont="1"/>
    <xf numFmtId="0" fontId="5" fillId="0" borderId="18" xfId="3" applyFont="1" applyBorder="1"/>
    <xf numFmtId="0" fontId="5" fillId="0" borderId="5" xfId="3" applyFont="1" applyBorder="1"/>
  </cellXfs>
  <cellStyles count="4">
    <cellStyle name="Millares" xfId="1" builtinId="3"/>
    <cellStyle name="Normal" xfId="0" builtinId="0"/>
    <cellStyle name="Normal 2" xfId="3" xr:uid="{49864077-03A3-45AF-98B7-13368690E28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990600" cy="485775"/>
    <xdr:pic>
      <xdr:nvPicPr>
        <xdr:cNvPr id="2" name="image1.png">
          <a:extLst>
            <a:ext uri="{FF2B5EF4-FFF2-40B4-BE49-F238E27FC236}">
              <a16:creationId xmlns:a16="http://schemas.microsoft.com/office/drawing/2014/main" id="{7C87DFC4-8E88-4577-A593-8343BA2EC5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0"/>
          <a:ext cx="990600" cy="485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990600" cy="485775"/>
    <xdr:pic>
      <xdr:nvPicPr>
        <xdr:cNvPr id="2" name="image1.png">
          <a:extLst>
            <a:ext uri="{FF2B5EF4-FFF2-40B4-BE49-F238E27FC236}">
              <a16:creationId xmlns:a16="http://schemas.microsoft.com/office/drawing/2014/main" id="{168280F7-9B5E-4D9C-9B2A-62C9721DF1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0"/>
          <a:ext cx="990600" cy="485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B74A-BFDD-4F8B-A241-09F1D56143ED}">
  <dimension ref="A1:AO1002"/>
  <sheetViews>
    <sheetView showGridLines="0" tabSelected="1" topLeftCell="A75" zoomScale="70" zoomScaleNormal="70" zoomScaleSheetLayoutView="87" workbookViewId="0">
      <selection activeCell="B115" sqref="B115:H128"/>
    </sheetView>
  </sheetViews>
  <sheetFormatPr baseColWidth="10" defaultColWidth="14.44140625" defaultRowHeight="15" customHeight="1" outlineLevelRow="1" x14ac:dyDescent="0.3"/>
  <cols>
    <col min="1" max="1" width="7.109375" style="4" customWidth="1"/>
    <col min="2" max="2" width="28.33203125" style="4" customWidth="1"/>
    <col min="3" max="3" width="16.6640625" style="4" bestFit="1" customWidth="1"/>
    <col min="4" max="4" width="15" style="4" customWidth="1"/>
    <col min="5" max="6" width="14.5546875" style="4" bestFit="1" customWidth="1"/>
    <col min="7" max="7" width="13.5546875" style="4" bestFit="1" customWidth="1"/>
    <col min="8" max="8" width="15.44140625" style="4" customWidth="1"/>
    <col min="9" max="9" width="18.33203125" style="4" bestFit="1" customWidth="1"/>
    <col min="10" max="10" width="22.109375" style="4" customWidth="1"/>
    <col min="11" max="11" width="15" style="4" bestFit="1" customWidth="1"/>
    <col min="12" max="12" width="9.6640625" style="4" bestFit="1" customWidth="1"/>
    <col min="13" max="13" width="2" style="4" customWidth="1"/>
    <col min="14" max="14" width="16" style="4" bestFit="1" customWidth="1"/>
    <col min="15" max="15" width="16.109375" style="4" customWidth="1"/>
    <col min="16" max="16" width="2" style="4" customWidth="1"/>
    <col min="17" max="17" width="7.77734375" style="4" bestFit="1" customWidth="1"/>
    <col min="18" max="18" width="13.77734375" style="4" bestFit="1" customWidth="1"/>
    <col min="19" max="19" width="12.5546875" style="4" customWidth="1"/>
    <col min="20" max="20" width="12" style="4" customWidth="1"/>
    <col min="21" max="21" width="10.109375" style="4" customWidth="1"/>
    <col min="22" max="22" width="3.109375" style="4" customWidth="1"/>
    <col min="23" max="23" width="12.5546875" style="4" customWidth="1"/>
    <col min="24" max="26" width="8.6640625" style="4" customWidth="1"/>
    <col min="27" max="27" width="14.33203125" style="4" customWidth="1"/>
    <col min="28" max="28" width="12" style="4" customWidth="1"/>
    <col min="29" max="29" width="8.6640625" style="4" customWidth="1"/>
    <col min="30" max="30" width="13.6640625" style="4" customWidth="1"/>
    <col min="31" max="31" width="5" style="4" customWidth="1"/>
    <col min="32" max="16384" width="14.44140625" style="4"/>
  </cols>
  <sheetData>
    <row r="1" spans="1:41" ht="15" customHeight="1" x14ac:dyDescent="0.3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6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1" ht="1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6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1" ht="15.75" customHeight="1" thickBo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/>
      <c r="P3" s="3"/>
      <c r="Q3" s="6"/>
      <c r="R3" s="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1" thickTop="1" x14ac:dyDescent="0.3">
      <c r="A4" s="3"/>
      <c r="D4" s="3"/>
      <c r="I4" s="3"/>
      <c r="J4" s="6"/>
      <c r="K4" s="7"/>
      <c r="L4" s="8"/>
      <c r="M4" s="3"/>
      <c r="N4" s="3"/>
      <c r="O4" s="3"/>
      <c r="P4" s="3"/>
      <c r="Q4" s="6"/>
      <c r="R4" s="6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1" ht="25.8" x14ac:dyDescent="0.5">
      <c r="A5" s="3"/>
      <c r="B5" s="9" t="s">
        <v>1</v>
      </c>
      <c r="I5" s="3"/>
      <c r="J5" s="6"/>
      <c r="K5" s="7"/>
      <c r="L5" s="8"/>
      <c r="M5" s="3"/>
      <c r="N5" s="3"/>
      <c r="O5" s="3"/>
      <c r="P5" s="3"/>
      <c r="Q5" s="6"/>
      <c r="R5" s="6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1" thickBot="1" x14ac:dyDescent="0.35">
      <c r="A6" s="3"/>
      <c r="B6" s="10"/>
      <c r="C6" s="10"/>
      <c r="D6" s="10"/>
      <c r="E6" s="10"/>
      <c r="F6" s="10"/>
      <c r="G6" s="10"/>
      <c r="H6" s="10"/>
      <c r="I6" s="10"/>
      <c r="J6" s="11">
        <v>62</v>
      </c>
      <c r="K6" s="7"/>
      <c r="L6" s="8"/>
      <c r="M6" s="3"/>
      <c r="N6" s="3"/>
      <c r="O6" s="3"/>
      <c r="P6" s="3"/>
      <c r="Q6" s="15"/>
      <c r="R6" s="15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1" thickTop="1" x14ac:dyDescent="0.3">
      <c r="A7" s="3"/>
      <c r="B7" s="10"/>
      <c r="C7" s="12" t="s">
        <v>2</v>
      </c>
      <c r="D7" s="12" t="s">
        <v>3</v>
      </c>
      <c r="E7" s="12" t="s">
        <v>4</v>
      </c>
      <c r="F7" s="12" t="s">
        <v>5</v>
      </c>
      <c r="G7" s="12" t="s">
        <v>6</v>
      </c>
      <c r="H7" s="12" t="s">
        <v>7</v>
      </c>
      <c r="I7" s="116" t="s">
        <v>58</v>
      </c>
      <c r="J7" s="117" t="s">
        <v>9</v>
      </c>
      <c r="K7" s="7"/>
      <c r="L7" s="8"/>
      <c r="M7" s="3"/>
      <c r="N7" s="3"/>
      <c r="O7" s="3"/>
      <c r="P7" s="3"/>
      <c r="Q7" s="10"/>
      <c r="R7" s="10"/>
      <c r="S7" s="3"/>
      <c r="T7" s="3"/>
      <c r="U7" s="118"/>
      <c r="V7" s="2"/>
      <c r="W7" s="2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1" ht="14.4" x14ac:dyDescent="0.3">
      <c r="A8" s="3"/>
      <c r="B8" s="10"/>
      <c r="C8" s="10"/>
      <c r="D8" s="15"/>
      <c r="E8" s="15"/>
      <c r="F8" s="15"/>
      <c r="G8" s="15"/>
      <c r="H8" s="10"/>
      <c r="I8" s="119"/>
      <c r="J8" s="16"/>
      <c r="K8" s="7"/>
      <c r="L8" s="8"/>
      <c r="M8" s="3"/>
      <c r="N8" s="163"/>
      <c r="O8" s="162"/>
      <c r="P8" s="162"/>
      <c r="Q8" s="166"/>
      <c r="R8" s="167"/>
      <c r="S8" s="163"/>
      <c r="T8" s="3"/>
      <c r="U8" s="6"/>
      <c r="V8" s="120"/>
      <c r="W8" s="6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1" ht="14.4" outlineLevel="1" x14ac:dyDescent="0.3">
      <c r="A9" s="3"/>
      <c r="B9" s="18" t="s">
        <v>10</v>
      </c>
      <c r="C9" s="10"/>
      <c r="D9" s="19"/>
      <c r="E9" s="15"/>
      <c r="F9" s="15"/>
      <c r="G9" s="15"/>
      <c r="H9" s="20"/>
      <c r="I9" s="121"/>
      <c r="J9" s="16"/>
      <c r="K9" s="7"/>
      <c r="L9" s="8"/>
      <c r="M9" s="3"/>
      <c r="N9" s="163"/>
      <c r="O9" s="163"/>
      <c r="P9" s="162"/>
      <c r="Q9" s="166"/>
      <c r="R9" s="167"/>
      <c r="S9" s="163"/>
      <c r="T9" s="3"/>
      <c r="U9" s="6"/>
      <c r="V9" s="120"/>
      <c r="W9" s="6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1" ht="14.4" outlineLevel="1" x14ac:dyDescent="0.3">
      <c r="A10" s="22"/>
      <c r="B10" s="123" t="s">
        <v>11</v>
      </c>
      <c r="C10" s="22" t="s">
        <v>12</v>
      </c>
      <c r="D10" s="29">
        <v>100</v>
      </c>
      <c r="E10" s="29">
        <v>60.83</v>
      </c>
      <c r="F10" s="29">
        <f t="shared" ref="F10:F13" si="0">+E10*D10</f>
        <v>6083</v>
      </c>
      <c r="G10" s="29">
        <v>49500</v>
      </c>
      <c r="H10" s="29">
        <v>3460000</v>
      </c>
      <c r="I10" s="124">
        <f>H10*D10</f>
        <v>346000000</v>
      </c>
      <c r="J10" s="31">
        <f t="shared" ref="J10:J19" si="1">I10/$J$6</f>
        <v>5580645.1612903224</v>
      </c>
      <c r="K10" s="28"/>
      <c r="L10" s="28"/>
      <c r="M10" s="22"/>
      <c r="N10" s="168"/>
      <c r="O10" s="168"/>
      <c r="P10" s="169"/>
      <c r="Q10" s="170"/>
      <c r="R10" s="171"/>
      <c r="S10" s="163"/>
      <c r="T10" s="22"/>
      <c r="U10" s="29"/>
      <c r="V10" s="125"/>
      <c r="W10" s="6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</row>
    <row r="11" spans="1:41" outlineLevel="1" thickBot="1" x14ac:dyDescent="0.35">
      <c r="A11" s="22"/>
      <c r="B11" s="5"/>
      <c r="C11" s="126" t="s">
        <v>59</v>
      </c>
      <c r="D11" s="127"/>
      <c r="E11" s="127">
        <v>50.18</v>
      </c>
      <c r="F11" s="127">
        <f t="shared" si="0"/>
        <v>0</v>
      </c>
      <c r="G11" s="127">
        <f>+H11/E11</f>
        <v>0</v>
      </c>
      <c r="H11" s="127"/>
      <c r="I11" s="128">
        <f t="shared" ref="I11:I19" si="2">H11*D11</f>
        <v>0</v>
      </c>
      <c r="J11" s="129">
        <f t="shared" si="1"/>
        <v>0</v>
      </c>
      <c r="K11" s="28"/>
      <c r="L11" s="28"/>
      <c r="M11" s="22"/>
      <c r="N11" s="168"/>
      <c r="O11" s="168"/>
      <c r="P11" s="169"/>
      <c r="Q11" s="170"/>
      <c r="R11" s="171"/>
      <c r="S11" s="163"/>
      <c r="T11" s="22"/>
      <c r="U11" s="29"/>
      <c r="V11" s="125"/>
      <c r="W11" s="6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</row>
    <row r="12" spans="1:41" outlineLevel="1" thickTop="1" x14ac:dyDescent="0.3">
      <c r="A12" s="22"/>
      <c r="B12" s="123" t="s">
        <v>13</v>
      </c>
      <c r="C12" s="22" t="s">
        <v>12</v>
      </c>
      <c r="D12" s="29">
        <v>100</v>
      </c>
      <c r="E12" s="29">
        <f t="shared" ref="E12:E13" si="3">+E10</f>
        <v>60.83</v>
      </c>
      <c r="F12" s="29">
        <f t="shared" si="0"/>
        <v>6083</v>
      </c>
      <c r="G12" s="29">
        <f>+G10</f>
        <v>49500</v>
      </c>
      <c r="H12" s="29">
        <f>+H10</f>
        <v>3460000</v>
      </c>
      <c r="I12" s="124">
        <f t="shared" si="2"/>
        <v>346000000</v>
      </c>
      <c r="J12" s="31">
        <f t="shared" si="1"/>
        <v>5580645.1612903224</v>
      </c>
      <c r="K12" s="28"/>
      <c r="L12" s="28"/>
      <c r="M12" s="22"/>
      <c r="N12" s="168"/>
      <c r="O12" s="168"/>
      <c r="P12" s="169"/>
      <c r="Q12" s="170"/>
      <c r="R12" s="171"/>
      <c r="S12" s="163"/>
      <c r="T12" s="22"/>
      <c r="U12" s="29"/>
      <c r="V12" s="125"/>
      <c r="W12" s="6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</row>
    <row r="13" spans="1:41" outlineLevel="1" thickBot="1" x14ac:dyDescent="0.35">
      <c r="A13" s="22"/>
      <c r="B13" s="130"/>
      <c r="C13" s="24" t="s">
        <v>59</v>
      </c>
      <c r="D13" s="25"/>
      <c r="E13" s="25">
        <f t="shared" si="3"/>
        <v>50.18</v>
      </c>
      <c r="F13" s="25">
        <f t="shared" si="0"/>
        <v>0</v>
      </c>
      <c r="G13" s="25">
        <f>+H13/E13</f>
        <v>0</v>
      </c>
      <c r="H13" s="25">
        <f>+H11</f>
        <v>0</v>
      </c>
      <c r="I13" s="124">
        <f t="shared" si="2"/>
        <v>0</v>
      </c>
      <c r="J13" s="26">
        <f t="shared" si="1"/>
        <v>0</v>
      </c>
      <c r="K13" s="28"/>
      <c r="L13" s="28"/>
      <c r="M13" s="22"/>
      <c r="N13" s="168"/>
      <c r="O13" s="168"/>
      <c r="P13" s="169"/>
      <c r="Q13" s="170"/>
      <c r="R13" s="171"/>
      <c r="S13" s="163"/>
      <c r="T13" s="22"/>
      <c r="U13" s="29"/>
      <c r="V13" s="125"/>
      <c r="W13" s="6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</row>
    <row r="14" spans="1:41" ht="14.4" outlineLevel="1" x14ac:dyDescent="0.3">
      <c r="A14" s="3"/>
      <c r="B14" s="33"/>
      <c r="C14" s="10"/>
      <c r="D14" s="15"/>
      <c r="E14" s="15"/>
      <c r="F14" s="15"/>
      <c r="G14" s="15"/>
      <c r="H14" s="15"/>
      <c r="I14" s="124">
        <f t="shared" si="2"/>
        <v>0</v>
      </c>
      <c r="J14" s="16">
        <f t="shared" si="1"/>
        <v>0</v>
      </c>
      <c r="K14" s="7"/>
      <c r="L14" s="8"/>
      <c r="M14" s="3"/>
      <c r="N14" s="163"/>
      <c r="O14" s="163"/>
      <c r="P14" s="162"/>
      <c r="Q14" s="166"/>
      <c r="R14" s="167"/>
      <c r="S14" s="163"/>
      <c r="T14" s="3"/>
      <c r="U14" s="29"/>
      <c r="V14" s="120"/>
      <c r="W14" s="6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1" ht="14.4" outlineLevel="1" x14ac:dyDescent="0.3">
      <c r="A15" s="3"/>
      <c r="B15" s="18" t="s">
        <v>14</v>
      </c>
      <c r="C15" s="10"/>
      <c r="D15" s="15"/>
      <c r="E15" s="15"/>
      <c r="F15" s="15"/>
      <c r="G15" s="15"/>
      <c r="H15" s="15"/>
      <c r="I15" s="124">
        <f t="shared" si="2"/>
        <v>0</v>
      </c>
      <c r="J15" s="16">
        <f t="shared" si="1"/>
        <v>0</v>
      </c>
      <c r="K15" s="7"/>
      <c r="L15" s="8"/>
      <c r="M15" s="3"/>
      <c r="N15" s="163"/>
      <c r="O15" s="163"/>
      <c r="P15" s="162"/>
      <c r="Q15" s="166"/>
      <c r="R15" s="167"/>
      <c r="S15" s="163"/>
      <c r="T15" s="3"/>
      <c r="U15" s="29"/>
      <c r="V15" s="120"/>
      <c r="W15" s="6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1" ht="14.4" outlineLevel="1" x14ac:dyDescent="0.3">
      <c r="A16" s="3"/>
      <c r="B16" s="123" t="s">
        <v>15</v>
      </c>
      <c r="C16" s="22" t="s">
        <v>12</v>
      </c>
      <c r="D16" s="15">
        <v>140</v>
      </c>
      <c r="E16" s="29">
        <f t="shared" ref="E16:E17" si="4">+E12</f>
        <v>60.83</v>
      </c>
      <c r="F16" s="29">
        <f t="shared" ref="F16:F19" si="5">+E16*D16</f>
        <v>8516.1999999999989</v>
      </c>
      <c r="G16" s="29">
        <f>+G12</f>
        <v>49500</v>
      </c>
      <c r="H16" s="29">
        <f>+H12</f>
        <v>3460000</v>
      </c>
      <c r="I16" s="124">
        <f t="shared" si="2"/>
        <v>484400000</v>
      </c>
      <c r="J16" s="31">
        <f t="shared" si="1"/>
        <v>7812903.2258064514</v>
      </c>
      <c r="K16" s="7"/>
      <c r="L16" s="8"/>
      <c r="M16" s="3"/>
      <c r="N16" s="163"/>
      <c r="O16" s="163"/>
      <c r="P16" s="162"/>
      <c r="Q16" s="166"/>
      <c r="R16" s="167"/>
      <c r="S16" s="163"/>
      <c r="T16" s="3"/>
      <c r="U16" s="6"/>
      <c r="V16" s="120"/>
      <c r="W16" s="6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4.4" outlineLevel="1" x14ac:dyDescent="0.3">
      <c r="A17" s="3"/>
      <c r="B17" s="90"/>
      <c r="C17" s="22" t="s">
        <v>59</v>
      </c>
      <c r="D17" s="15"/>
      <c r="E17" s="29">
        <f t="shared" si="4"/>
        <v>50.18</v>
      </c>
      <c r="F17" s="29">
        <f t="shared" si="5"/>
        <v>0</v>
      </c>
      <c r="G17" s="29">
        <f>+H17/E17</f>
        <v>0</v>
      </c>
      <c r="H17" s="29">
        <f>+H13</f>
        <v>0</v>
      </c>
      <c r="I17" s="124">
        <f t="shared" si="2"/>
        <v>0</v>
      </c>
      <c r="J17" s="31">
        <f t="shared" si="1"/>
        <v>0</v>
      </c>
      <c r="K17" s="7"/>
      <c r="L17" s="8"/>
      <c r="M17" s="3"/>
      <c r="N17" s="163"/>
      <c r="O17" s="163"/>
      <c r="P17" s="162"/>
      <c r="Q17" s="166"/>
      <c r="R17" s="167"/>
      <c r="S17" s="163"/>
      <c r="T17" s="3"/>
      <c r="U17" s="6"/>
      <c r="V17" s="120"/>
      <c r="W17" s="6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4.4" outlineLevel="1" x14ac:dyDescent="0.3">
      <c r="A18" s="3"/>
      <c r="B18" s="123" t="s">
        <v>17</v>
      </c>
      <c r="C18" s="22" t="s">
        <v>12</v>
      </c>
      <c r="D18" s="15">
        <v>140</v>
      </c>
      <c r="E18" s="29">
        <f t="shared" ref="E18:E19" si="6">+E16</f>
        <v>60.83</v>
      </c>
      <c r="F18" s="29">
        <f t="shared" si="5"/>
        <v>8516.1999999999989</v>
      </c>
      <c r="G18" s="29">
        <f>+G16</f>
        <v>49500</v>
      </c>
      <c r="H18" s="29">
        <f>+H16</f>
        <v>3460000</v>
      </c>
      <c r="I18" s="124">
        <f t="shared" si="2"/>
        <v>484400000</v>
      </c>
      <c r="J18" s="31">
        <f t="shared" si="1"/>
        <v>7812903.2258064514</v>
      </c>
      <c r="K18" s="7"/>
      <c r="L18" s="8"/>
      <c r="M18" s="3"/>
      <c r="N18" s="172"/>
      <c r="O18" s="163"/>
      <c r="P18" s="162"/>
      <c r="Q18" s="166"/>
      <c r="R18" s="167"/>
      <c r="S18" s="163"/>
      <c r="T18" s="3"/>
      <c r="U18" s="6"/>
      <c r="V18" s="120"/>
      <c r="W18" s="6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5.75" customHeight="1" outlineLevel="1" thickBot="1" x14ac:dyDescent="0.35">
      <c r="A19" s="3"/>
      <c r="B19" s="130"/>
      <c r="C19" s="24" t="s">
        <v>59</v>
      </c>
      <c r="D19" s="131"/>
      <c r="E19" s="25">
        <f t="shared" si="6"/>
        <v>50.18</v>
      </c>
      <c r="F19" s="25">
        <f t="shared" si="5"/>
        <v>0</v>
      </c>
      <c r="G19" s="25">
        <f>+H19/E19</f>
        <v>0</v>
      </c>
      <c r="H19" s="25">
        <f>+H17</f>
        <v>0</v>
      </c>
      <c r="I19" s="124">
        <f t="shared" si="2"/>
        <v>0</v>
      </c>
      <c r="J19" s="26">
        <f t="shared" si="1"/>
        <v>0</v>
      </c>
      <c r="K19" s="7"/>
      <c r="L19" s="8"/>
      <c r="M19" s="3"/>
      <c r="N19" s="163"/>
      <c r="O19" s="163"/>
      <c r="P19" s="162"/>
      <c r="Q19" s="166"/>
      <c r="R19" s="167"/>
      <c r="S19" s="163"/>
      <c r="T19" s="3"/>
      <c r="U19" s="6"/>
      <c r="V19" s="120"/>
      <c r="W19" s="6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5.75" customHeight="1" x14ac:dyDescent="0.3">
      <c r="A20" s="3"/>
      <c r="B20" s="18"/>
      <c r="C20" s="10"/>
      <c r="D20" s="19"/>
      <c r="E20" s="15"/>
      <c r="F20" s="15"/>
      <c r="G20" s="15"/>
      <c r="H20" s="20"/>
      <c r="I20" s="121"/>
      <c r="J20" s="16"/>
      <c r="K20" s="7"/>
      <c r="L20" s="8"/>
      <c r="M20" s="3"/>
      <c r="N20" s="163"/>
      <c r="O20" s="163"/>
      <c r="P20" s="162"/>
      <c r="Q20" s="166"/>
      <c r="R20" s="167"/>
      <c r="S20" s="163"/>
      <c r="T20" s="3"/>
      <c r="U20" s="6"/>
      <c r="V20" s="120"/>
      <c r="W20" s="6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15.75" customHeight="1" x14ac:dyDescent="0.3">
      <c r="A21" s="3"/>
      <c r="B21" s="36" t="s">
        <v>18</v>
      </c>
      <c r="C21" s="36"/>
      <c r="D21" s="37">
        <f>SUM(D9:D19)</f>
        <v>480</v>
      </c>
      <c r="E21" s="38">
        <f>+AVERAGE(E10:E19)</f>
        <v>55.504999999999995</v>
      </c>
      <c r="F21" s="38">
        <f>SUM(F9:F19)</f>
        <v>29198.399999999994</v>
      </c>
      <c r="G21" s="38">
        <f>+AVERAGE(G10:G18)</f>
        <v>28285.714285714286</v>
      </c>
      <c r="H21" s="38">
        <f>+I21/D21</f>
        <v>3460000</v>
      </c>
      <c r="I21" s="132">
        <f>SUM(I10:I20)</f>
        <v>1660800000</v>
      </c>
      <c r="J21" s="133">
        <f>SUM(J9:J19)</f>
        <v>26787096.774193548</v>
      </c>
      <c r="K21" s="7"/>
      <c r="L21" s="8"/>
      <c r="M21" s="3"/>
      <c r="N21" s="163"/>
      <c r="O21" s="163"/>
      <c r="P21" s="162"/>
      <c r="Q21" s="166"/>
      <c r="R21" s="167"/>
      <c r="S21" s="163"/>
      <c r="T21" s="3"/>
      <c r="U21" s="6"/>
      <c r="V21" s="120"/>
      <c r="W21" s="6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15.75" customHeight="1" x14ac:dyDescent="0.3">
      <c r="A22" s="3"/>
      <c r="B22" s="10"/>
      <c r="C22" s="10"/>
      <c r="D22" s="15"/>
      <c r="E22" s="10"/>
      <c r="F22" s="10"/>
      <c r="G22" s="10"/>
      <c r="H22" s="10"/>
      <c r="I22" s="121"/>
      <c r="J22" s="61"/>
      <c r="K22" s="7"/>
      <c r="L22" s="8"/>
      <c r="M22" s="3"/>
      <c r="N22" s="163"/>
      <c r="O22" s="163"/>
      <c r="P22" s="162"/>
      <c r="Q22" s="166"/>
      <c r="R22" s="167"/>
      <c r="S22" s="163"/>
      <c r="T22" s="3"/>
      <c r="U22" s="6"/>
      <c r="V22" s="120"/>
      <c r="W22" s="6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24" customHeight="1" x14ac:dyDescent="0.5">
      <c r="A23" s="3"/>
      <c r="B23" s="9" t="s">
        <v>19</v>
      </c>
      <c r="C23" s="10"/>
      <c r="D23" s="101"/>
      <c r="G23" s="3"/>
      <c r="H23" s="3"/>
      <c r="I23" s="134"/>
      <c r="J23" s="61"/>
      <c r="K23" s="7"/>
      <c r="L23" s="8"/>
      <c r="M23" s="3"/>
      <c r="N23" s="163"/>
      <c r="O23" s="162"/>
      <c r="P23" s="162"/>
      <c r="Q23" s="166"/>
      <c r="R23" s="167"/>
      <c r="S23" s="163"/>
      <c r="T23" s="3"/>
      <c r="U23" s="6"/>
      <c r="V23" s="120"/>
      <c r="W23" s="6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t="15.75" customHeight="1" x14ac:dyDescent="0.3">
      <c r="A24" s="3"/>
      <c r="C24" s="10"/>
      <c r="G24" s="3"/>
      <c r="H24" s="3"/>
      <c r="I24" s="134"/>
      <c r="J24" s="61"/>
      <c r="K24" s="7"/>
      <c r="L24" s="8"/>
      <c r="M24" s="3"/>
      <c r="N24" s="163"/>
      <c r="O24" s="162"/>
      <c r="P24" s="162"/>
      <c r="Q24" s="166"/>
      <c r="R24" s="167"/>
      <c r="S24" s="163"/>
      <c r="T24" s="3"/>
      <c r="U24" s="6"/>
      <c r="V24" s="120"/>
      <c r="W24" s="6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15.75" customHeight="1" x14ac:dyDescent="0.3">
      <c r="A25" s="3"/>
      <c r="C25" s="10"/>
      <c r="D25" s="45"/>
      <c r="E25" s="45" t="s">
        <v>60</v>
      </c>
      <c r="F25" s="45" t="s">
        <v>61</v>
      </c>
      <c r="G25" s="45" t="s">
        <v>62</v>
      </c>
      <c r="H25" s="45"/>
      <c r="I25" s="135" t="s">
        <v>18</v>
      </c>
      <c r="J25" s="136"/>
      <c r="K25" s="48" t="s">
        <v>20</v>
      </c>
      <c r="L25" s="48" t="s">
        <v>21</v>
      </c>
      <c r="M25" s="3"/>
      <c r="N25" s="163"/>
      <c r="O25" s="162"/>
      <c r="P25" s="162"/>
      <c r="Q25" s="166"/>
      <c r="R25" s="167"/>
      <c r="S25" s="163"/>
      <c r="T25" s="3"/>
      <c r="U25" s="6"/>
      <c r="V25" s="120"/>
      <c r="W25" s="6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5.75" customHeight="1" x14ac:dyDescent="0.3">
      <c r="A26" s="49"/>
      <c r="B26" s="50" t="s">
        <v>22</v>
      </c>
      <c r="C26" s="51"/>
      <c r="D26" s="51"/>
      <c r="E26" s="51"/>
      <c r="F26" s="51"/>
      <c r="G26" s="51"/>
      <c r="H26" s="137"/>
      <c r="I26" s="52">
        <f>SUM(I27:I29)</f>
        <v>79059000</v>
      </c>
      <c r="J26" s="53">
        <f>I26/$J$6</f>
        <v>1275145.1612903227</v>
      </c>
      <c r="K26" s="55">
        <f>I26/$I$87</f>
        <v>5.9679659784677555E-2</v>
      </c>
      <c r="L26" s="55">
        <f>+I26/$I$21</f>
        <v>4.7602962427745664E-2</v>
      </c>
      <c r="M26" s="49"/>
      <c r="N26" s="173"/>
      <c r="O26" s="173"/>
      <c r="P26" s="173"/>
      <c r="Q26" s="166"/>
      <c r="R26" s="167"/>
      <c r="S26" s="163"/>
      <c r="T26" s="49"/>
      <c r="U26" s="15"/>
      <c r="V26" s="122"/>
      <c r="W26" s="6"/>
      <c r="X26" s="49"/>
      <c r="Y26" s="49"/>
      <c r="Z26" s="49"/>
      <c r="AA26" s="56"/>
      <c r="AB26" s="56"/>
      <c r="AC26" s="49"/>
      <c r="AD26" s="62"/>
      <c r="AE26" s="49"/>
      <c r="AF26" s="49"/>
      <c r="AG26" s="49"/>
      <c r="AH26" s="49"/>
      <c r="AI26" s="49"/>
      <c r="AJ26" s="56"/>
      <c r="AK26" s="56"/>
      <c r="AL26" s="49"/>
      <c r="AM26" s="3"/>
      <c r="AN26" s="3"/>
    </row>
    <row r="27" spans="1:40" ht="15.75" customHeight="1" outlineLevel="1" x14ac:dyDescent="0.3">
      <c r="A27" s="3"/>
      <c r="B27" s="76"/>
      <c r="C27" s="10"/>
      <c r="D27" s="6"/>
      <c r="E27" s="6">
        <f>+F21/F27</f>
        <v>1.1079725268470382</v>
      </c>
      <c r="F27" s="6">
        <f>13176.5*2</f>
        <v>26353</v>
      </c>
      <c r="G27" s="6">
        <v>3000</v>
      </c>
      <c r="H27" s="3"/>
      <c r="I27" s="138">
        <f t="shared" ref="I27:I28" si="7">G27*F27</f>
        <v>79059000</v>
      </c>
      <c r="J27" s="61"/>
      <c r="K27" s="7"/>
      <c r="L27" s="57"/>
      <c r="M27" s="3"/>
      <c r="N27" s="163"/>
      <c r="O27" s="162"/>
      <c r="P27" s="162"/>
      <c r="Q27" s="166"/>
      <c r="R27" s="167"/>
      <c r="S27" s="163"/>
      <c r="T27" s="3"/>
      <c r="U27" s="6"/>
      <c r="V27" s="120"/>
      <c r="W27" s="6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5.75" hidden="1" customHeight="1" x14ac:dyDescent="0.3">
      <c r="A28" s="3"/>
      <c r="B28" s="76"/>
      <c r="C28" s="10"/>
      <c r="D28" s="6"/>
      <c r="E28" s="6"/>
      <c r="F28" s="6"/>
      <c r="G28" s="6"/>
      <c r="H28" s="3"/>
      <c r="I28" s="138">
        <f t="shared" si="7"/>
        <v>0</v>
      </c>
      <c r="J28" s="61"/>
      <c r="K28" s="58"/>
      <c r="L28" s="57"/>
      <c r="M28" s="3"/>
      <c r="N28" s="163"/>
      <c r="O28" s="162"/>
      <c r="P28" s="162"/>
      <c r="Q28" s="164"/>
      <c r="R28" s="174"/>
      <c r="S28" s="162"/>
      <c r="T28" s="3"/>
      <c r="U28" s="6"/>
      <c r="V28" s="139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5.75" hidden="1" customHeight="1" x14ac:dyDescent="0.3">
      <c r="A29" s="3"/>
      <c r="B29" s="3" t="s">
        <v>63</v>
      </c>
      <c r="C29" s="60">
        <v>0</v>
      </c>
      <c r="D29" s="6"/>
      <c r="E29" s="6"/>
      <c r="F29" s="6"/>
      <c r="G29" s="6"/>
      <c r="H29" s="3"/>
      <c r="I29" s="138">
        <f>SUM(I27:I28)*$C$29</f>
        <v>0</v>
      </c>
      <c r="J29" s="61"/>
      <c r="K29" s="58"/>
      <c r="L29" s="57"/>
      <c r="M29" s="3"/>
      <c r="N29" s="163"/>
      <c r="O29" s="163"/>
      <c r="P29" s="162"/>
      <c r="Q29" s="164"/>
      <c r="R29" s="174"/>
      <c r="S29" s="162"/>
      <c r="T29" s="3"/>
      <c r="U29" s="6"/>
      <c r="V29" s="139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5.75" customHeight="1" x14ac:dyDescent="0.3">
      <c r="A30" s="3"/>
      <c r="C30" s="10"/>
      <c r="D30" s="6"/>
      <c r="E30" s="6"/>
      <c r="F30" s="6"/>
      <c r="G30" s="6"/>
      <c r="H30" s="3"/>
      <c r="I30" s="138"/>
      <c r="J30" s="61"/>
      <c r="K30" s="58"/>
      <c r="L30" s="8"/>
      <c r="M30" s="3"/>
      <c r="N30" s="163"/>
      <c r="O30" s="162"/>
      <c r="P30" s="162"/>
      <c r="Q30" s="175"/>
      <c r="R30" s="176"/>
      <c r="S30" s="162"/>
      <c r="T30" s="3"/>
      <c r="U30" s="6"/>
      <c r="V30" s="139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5.75" customHeight="1" x14ac:dyDescent="0.3">
      <c r="A31" s="49"/>
      <c r="B31" s="50" t="s">
        <v>26</v>
      </c>
      <c r="C31" s="51"/>
      <c r="D31" s="51"/>
      <c r="E31" s="51"/>
      <c r="F31" s="51"/>
      <c r="G31" s="51"/>
      <c r="H31" s="137"/>
      <c r="I31" s="52">
        <f>SUM(I32:I50)</f>
        <v>940227513.60000002</v>
      </c>
      <c r="J31" s="53">
        <f>I31/$J$6</f>
        <v>15164959.896774193</v>
      </c>
      <c r="K31" s="55">
        <f>I31/$I$87</f>
        <v>0.70975421054960586</v>
      </c>
      <c r="L31" s="55">
        <f>+I31/$I$21</f>
        <v>0.56612928323699419</v>
      </c>
      <c r="M31" s="49"/>
      <c r="N31" s="177"/>
      <c r="O31" s="177"/>
      <c r="P31" s="173"/>
      <c r="Q31" s="178"/>
      <c r="R31" s="176"/>
      <c r="S31" s="175"/>
      <c r="T31" s="49"/>
      <c r="U31" s="62"/>
      <c r="V31" s="49"/>
      <c r="W31" s="7"/>
      <c r="X31" s="49"/>
      <c r="Y31" s="49"/>
      <c r="Z31" s="49"/>
      <c r="AA31" s="56"/>
      <c r="AB31" s="56"/>
      <c r="AC31" s="49"/>
      <c r="AD31" s="62"/>
      <c r="AE31" s="49"/>
      <c r="AF31" s="49"/>
      <c r="AG31" s="49"/>
      <c r="AH31" s="49"/>
      <c r="AI31" s="49"/>
      <c r="AJ31" s="56"/>
      <c r="AK31" s="56"/>
      <c r="AL31" s="49"/>
      <c r="AM31" s="62"/>
      <c r="AN31" s="49"/>
    </row>
    <row r="32" spans="1:40" ht="15.75" customHeight="1" outlineLevel="1" x14ac:dyDescent="0.3">
      <c r="A32" s="49"/>
      <c r="B32" s="62"/>
      <c r="C32" s="49"/>
      <c r="D32" s="49"/>
      <c r="E32" s="49"/>
      <c r="F32" s="49"/>
      <c r="G32" s="49"/>
      <c r="H32" s="56"/>
      <c r="I32" s="138"/>
      <c r="J32" s="61"/>
      <c r="K32" s="63"/>
      <c r="L32" s="63"/>
      <c r="M32" s="49"/>
      <c r="N32" s="173"/>
      <c r="O32" s="179"/>
      <c r="P32" s="179"/>
      <c r="Q32" s="176"/>
      <c r="R32" s="176"/>
      <c r="S32" s="178"/>
      <c r="T32" s="49"/>
      <c r="U32" s="62"/>
      <c r="V32" s="49"/>
      <c r="W32" s="49"/>
      <c r="X32" s="49"/>
      <c r="Y32" s="49"/>
      <c r="Z32" s="49"/>
      <c r="AA32" s="56"/>
      <c r="AB32" s="56"/>
      <c r="AC32" s="49"/>
      <c r="AD32" s="62"/>
      <c r="AE32" s="49"/>
      <c r="AF32" s="69"/>
      <c r="AG32" s="49"/>
      <c r="AH32" s="49"/>
      <c r="AI32" s="49"/>
      <c r="AJ32" s="56"/>
      <c r="AK32" s="56"/>
      <c r="AL32" s="49"/>
      <c r="AM32" s="62"/>
      <c r="AN32" s="49"/>
    </row>
    <row r="33" spans="1:40" ht="15.75" customHeight="1" outlineLevel="1" x14ac:dyDescent="0.3">
      <c r="A33" s="49"/>
      <c r="B33" s="69" t="s">
        <v>27</v>
      </c>
      <c r="C33" s="49"/>
      <c r="D33" s="49"/>
      <c r="E33" s="49"/>
      <c r="F33" s="49"/>
      <c r="G33" s="49"/>
      <c r="H33" s="56"/>
      <c r="I33" s="138"/>
      <c r="J33" s="61"/>
      <c r="K33" s="7"/>
      <c r="L33" s="63"/>
      <c r="M33" s="49"/>
      <c r="N33" s="173"/>
      <c r="O33" s="179"/>
      <c r="P33" s="179"/>
      <c r="Q33" s="176"/>
      <c r="R33" s="176"/>
      <c r="S33" s="178"/>
      <c r="T33" s="49"/>
      <c r="U33" s="62"/>
      <c r="V33" s="49"/>
      <c r="W33" s="49"/>
      <c r="X33" s="49"/>
      <c r="Y33" s="49"/>
      <c r="Z33" s="49"/>
      <c r="AA33" s="56"/>
      <c r="AB33" s="56"/>
      <c r="AC33" s="49"/>
      <c r="AD33" s="62"/>
      <c r="AE33" s="49"/>
      <c r="AF33" s="69"/>
      <c r="AG33" s="49"/>
      <c r="AH33" s="49"/>
      <c r="AI33" s="49"/>
      <c r="AJ33" s="56"/>
      <c r="AK33" s="56"/>
      <c r="AL33" s="49"/>
      <c r="AM33" s="62"/>
      <c r="AN33" s="49"/>
    </row>
    <row r="34" spans="1:40" ht="15.75" customHeight="1" outlineLevel="1" x14ac:dyDescent="0.3">
      <c r="A34" s="49"/>
      <c r="B34" s="62"/>
      <c r="C34" s="49"/>
      <c r="D34" s="49"/>
      <c r="E34" s="10"/>
      <c r="F34" s="10"/>
      <c r="G34" s="10"/>
      <c r="H34" s="15"/>
      <c r="I34" s="138"/>
      <c r="J34" s="61"/>
      <c r="K34" s="65"/>
      <c r="L34" s="63"/>
      <c r="M34" s="49"/>
      <c r="N34" s="173"/>
      <c r="O34" s="180"/>
      <c r="P34" s="179"/>
      <c r="Q34" s="176"/>
      <c r="R34" s="176"/>
      <c r="S34" s="178"/>
      <c r="T34" s="49"/>
      <c r="U34" s="62"/>
      <c r="V34" s="49"/>
      <c r="W34" s="49"/>
      <c r="X34" s="49"/>
      <c r="Y34" s="49"/>
      <c r="Z34" s="49"/>
      <c r="AA34" s="56"/>
      <c r="AB34" s="56"/>
      <c r="AC34" s="49"/>
      <c r="AD34" s="62"/>
      <c r="AE34" s="49"/>
      <c r="AF34" s="69"/>
      <c r="AG34" s="49"/>
      <c r="AH34" s="49"/>
      <c r="AI34" s="49"/>
      <c r="AJ34" s="56"/>
      <c r="AK34" s="56"/>
      <c r="AL34" s="49"/>
      <c r="AM34" s="62"/>
      <c r="AN34" s="49"/>
    </row>
    <row r="35" spans="1:40" ht="15.75" customHeight="1" outlineLevel="1" x14ac:dyDescent="0.3">
      <c r="A35" s="49"/>
      <c r="B35" s="18" t="str">
        <f t="shared" ref="B35:B36" si="8">+B9</f>
        <v>ETAPA I</v>
      </c>
      <c r="C35" s="49"/>
      <c r="D35" s="10"/>
      <c r="E35" s="10"/>
      <c r="F35" s="15"/>
      <c r="G35" s="10"/>
      <c r="H35" s="15"/>
      <c r="I35" s="138">
        <v>40000000</v>
      </c>
      <c r="J35" s="61"/>
      <c r="K35" s="68"/>
      <c r="L35" s="7"/>
      <c r="M35" s="69"/>
      <c r="N35" s="181"/>
      <c r="O35" s="176"/>
      <c r="P35" s="179"/>
      <c r="Q35" s="176"/>
      <c r="R35" s="176"/>
      <c r="S35" s="178"/>
      <c r="T35" s="49"/>
      <c r="U35" s="62"/>
      <c r="V35" s="49"/>
      <c r="W35" s="49"/>
      <c r="X35" s="49"/>
      <c r="Y35" s="49"/>
      <c r="Z35" s="49"/>
      <c r="AA35" s="56"/>
      <c r="AB35" s="56"/>
      <c r="AC35" s="49"/>
      <c r="AD35" s="62"/>
      <c r="AE35" s="49"/>
      <c r="AF35" s="69"/>
      <c r="AG35" s="49"/>
      <c r="AH35" s="49"/>
      <c r="AI35" s="49"/>
      <c r="AJ35" s="56"/>
      <c r="AK35" s="56"/>
      <c r="AL35" s="49"/>
      <c r="AM35" s="62"/>
      <c r="AN35" s="49"/>
    </row>
    <row r="36" spans="1:40" ht="15.75" customHeight="1" outlineLevel="1" x14ac:dyDescent="0.3">
      <c r="A36" s="49"/>
      <c r="B36" s="70" t="str">
        <f t="shared" si="8"/>
        <v>FASE 1</v>
      </c>
      <c r="C36" s="49"/>
      <c r="D36" s="10">
        <f>+SUM(D10:D11)/20</f>
        <v>5</v>
      </c>
      <c r="E36" s="10"/>
      <c r="F36" s="15">
        <f>+SUM(F10:F11)</f>
        <v>6083</v>
      </c>
      <c r="G36" s="15">
        <v>30200</v>
      </c>
      <c r="H36" s="15"/>
      <c r="I36" s="138">
        <f t="shared" ref="I36:I37" si="9">G36*F36</f>
        <v>183706600</v>
      </c>
      <c r="J36" s="61"/>
      <c r="K36" s="68"/>
      <c r="L36" s="7"/>
      <c r="M36" s="69"/>
      <c r="N36" s="181"/>
      <c r="O36" s="176"/>
      <c r="P36" s="179"/>
      <c r="Q36" s="176"/>
      <c r="R36" s="176"/>
      <c r="S36" s="178"/>
      <c r="T36" s="49"/>
      <c r="U36" s="62"/>
      <c r="V36" s="49"/>
      <c r="W36" s="49"/>
      <c r="X36" s="49"/>
      <c r="Y36" s="49"/>
      <c r="Z36" s="49"/>
      <c r="AA36" s="56"/>
      <c r="AB36" s="56"/>
      <c r="AC36" s="49"/>
      <c r="AD36" s="62"/>
      <c r="AE36" s="49"/>
      <c r="AF36" s="69"/>
      <c r="AG36" s="49"/>
      <c r="AH36" s="49"/>
      <c r="AI36" s="49"/>
      <c r="AJ36" s="56"/>
      <c r="AK36" s="56"/>
      <c r="AL36" s="49"/>
      <c r="AM36" s="62"/>
      <c r="AN36" s="49"/>
    </row>
    <row r="37" spans="1:40" ht="15.75" customHeight="1" outlineLevel="1" x14ac:dyDescent="0.3">
      <c r="A37" s="49"/>
      <c r="B37" s="70" t="str">
        <f>+B12</f>
        <v>FASE 2</v>
      </c>
      <c r="C37" s="49"/>
      <c r="D37" s="10">
        <f>+D36</f>
        <v>5</v>
      </c>
      <c r="E37" s="10"/>
      <c r="F37" s="15">
        <f>+SUM(F12:F13)</f>
        <v>6083</v>
      </c>
      <c r="G37" s="15">
        <f>+G36</f>
        <v>30200</v>
      </c>
      <c r="H37" s="15"/>
      <c r="I37" s="138">
        <f t="shared" si="9"/>
        <v>183706600</v>
      </c>
      <c r="J37" s="61"/>
      <c r="K37" s="68"/>
      <c r="L37" s="58"/>
      <c r="M37" s="69"/>
      <c r="N37" s="181"/>
      <c r="O37" s="179"/>
      <c r="P37" s="179"/>
      <c r="Q37" s="176"/>
      <c r="R37" s="176"/>
      <c r="S37" s="178"/>
      <c r="T37" s="49"/>
      <c r="U37" s="62"/>
      <c r="V37" s="49"/>
      <c r="W37" s="49"/>
      <c r="X37" s="49"/>
      <c r="Y37" s="49"/>
      <c r="Z37" s="49"/>
      <c r="AA37" s="56"/>
      <c r="AB37" s="56"/>
      <c r="AC37" s="49"/>
      <c r="AD37" s="62"/>
      <c r="AE37" s="49"/>
      <c r="AF37" s="69"/>
      <c r="AG37" s="49"/>
      <c r="AH37" s="49"/>
      <c r="AI37" s="49"/>
      <c r="AJ37" s="56"/>
      <c r="AK37" s="56"/>
      <c r="AL37" s="49"/>
      <c r="AM37" s="62"/>
      <c r="AN37" s="49"/>
    </row>
    <row r="38" spans="1:40" ht="15.75" customHeight="1" outlineLevel="1" x14ac:dyDescent="0.3">
      <c r="A38" s="49"/>
      <c r="B38" s="70"/>
      <c r="C38" s="49"/>
      <c r="D38" s="10"/>
      <c r="E38" s="10"/>
      <c r="F38" s="15"/>
      <c r="G38" s="15"/>
      <c r="H38" s="15"/>
      <c r="I38" s="138"/>
      <c r="J38" s="61"/>
      <c r="K38" s="68"/>
      <c r="L38" s="58"/>
      <c r="M38" s="69"/>
      <c r="N38" s="181"/>
      <c r="O38" s="166"/>
      <c r="P38" s="166"/>
      <c r="Q38" s="175"/>
      <c r="R38" s="176"/>
      <c r="S38" s="178"/>
      <c r="T38" s="49"/>
      <c r="U38" s="62"/>
      <c r="V38" s="49"/>
      <c r="W38" s="49"/>
      <c r="X38" s="49"/>
      <c r="Y38" s="49"/>
      <c r="Z38" s="49"/>
      <c r="AA38" s="56"/>
      <c r="AB38" s="56"/>
      <c r="AC38" s="49"/>
      <c r="AD38" s="62"/>
      <c r="AE38" s="49"/>
      <c r="AF38" s="49"/>
      <c r="AG38" s="49"/>
      <c r="AH38" s="49"/>
      <c r="AI38" s="49"/>
      <c r="AJ38" s="56"/>
      <c r="AK38" s="56"/>
      <c r="AL38" s="49"/>
      <c r="AM38" s="62"/>
      <c r="AN38" s="49"/>
    </row>
    <row r="39" spans="1:40" ht="15.75" customHeight="1" outlineLevel="1" x14ac:dyDescent="0.3">
      <c r="A39" s="49"/>
      <c r="B39" s="18" t="str">
        <f t="shared" ref="B39:B40" si="10">+B15</f>
        <v>ETAPA II</v>
      </c>
      <c r="C39" s="49"/>
      <c r="D39" s="10"/>
      <c r="E39" s="10"/>
      <c r="F39" s="15"/>
      <c r="G39" s="15"/>
      <c r="H39" s="15"/>
      <c r="I39" s="138"/>
      <c r="J39" s="61"/>
      <c r="K39" s="68"/>
      <c r="L39" s="58"/>
      <c r="M39" s="69"/>
      <c r="N39" s="166"/>
      <c r="O39" s="166"/>
      <c r="P39" s="166"/>
      <c r="Q39" s="175"/>
      <c r="R39" s="175"/>
      <c r="S39" s="178"/>
      <c r="T39" s="49"/>
      <c r="U39" s="62"/>
      <c r="V39" s="49"/>
      <c r="W39" s="49"/>
      <c r="X39" s="49"/>
      <c r="Y39" s="49"/>
      <c r="Z39" s="49"/>
      <c r="AA39" s="56"/>
      <c r="AB39" s="56"/>
      <c r="AC39" s="49"/>
      <c r="AD39" s="62"/>
      <c r="AE39" s="49"/>
      <c r="AF39" s="49"/>
      <c r="AG39" s="49"/>
      <c r="AH39" s="49"/>
      <c r="AI39" s="49"/>
      <c r="AJ39" s="56"/>
      <c r="AK39" s="56"/>
      <c r="AL39" s="49"/>
      <c r="AM39" s="62"/>
      <c r="AN39" s="49"/>
    </row>
    <row r="40" spans="1:40" ht="15.75" customHeight="1" outlineLevel="1" x14ac:dyDescent="0.3">
      <c r="A40" s="49"/>
      <c r="B40" s="70" t="str">
        <f t="shared" si="10"/>
        <v>FASE 3</v>
      </c>
      <c r="C40" s="49"/>
      <c r="D40" s="10">
        <f>+SUM(D16:D17)/20</f>
        <v>7</v>
      </c>
      <c r="E40" s="10"/>
      <c r="F40" s="15">
        <f>+SUM(F16:F17)</f>
        <v>8516.1999999999989</v>
      </c>
      <c r="G40" s="15">
        <f>+G37</f>
        <v>30200</v>
      </c>
      <c r="H40" s="15"/>
      <c r="I40" s="138">
        <f t="shared" ref="I40:I41" si="11">G40*F40</f>
        <v>257189239.99999997</v>
      </c>
      <c r="J40" s="61"/>
      <c r="K40" s="68"/>
      <c r="L40" s="58"/>
      <c r="M40" s="69"/>
      <c r="N40" s="166"/>
      <c r="O40" s="166"/>
      <c r="P40" s="166"/>
      <c r="Q40" s="175"/>
      <c r="R40" s="175"/>
      <c r="S40" s="178"/>
      <c r="T40" s="49"/>
      <c r="U40" s="62"/>
      <c r="V40" s="49"/>
      <c r="W40" s="49"/>
      <c r="X40" s="49"/>
      <c r="Y40" s="49"/>
      <c r="Z40" s="49"/>
      <c r="AA40" s="56"/>
      <c r="AB40" s="56"/>
      <c r="AC40" s="49"/>
      <c r="AD40" s="62"/>
      <c r="AE40" s="49"/>
      <c r="AF40" s="49"/>
      <c r="AG40" s="49"/>
      <c r="AH40" s="49"/>
      <c r="AI40" s="49"/>
      <c r="AJ40" s="56"/>
      <c r="AK40" s="56"/>
      <c r="AL40" s="49"/>
      <c r="AM40" s="62"/>
      <c r="AN40" s="49"/>
    </row>
    <row r="41" spans="1:40" ht="15.75" customHeight="1" outlineLevel="1" x14ac:dyDescent="0.3">
      <c r="A41" s="49"/>
      <c r="B41" s="70" t="str">
        <f>+B18</f>
        <v>FASE 4</v>
      </c>
      <c r="C41" s="49"/>
      <c r="D41" s="10">
        <f>+SUM(D18:D19)/20</f>
        <v>7</v>
      </c>
      <c r="E41" s="10"/>
      <c r="F41" s="15">
        <f>+SUM(F18:F19)</f>
        <v>8516.1999999999989</v>
      </c>
      <c r="G41" s="15">
        <f>+G40</f>
        <v>30200</v>
      </c>
      <c r="H41" s="15"/>
      <c r="I41" s="138">
        <f t="shared" si="11"/>
        <v>257189239.99999997</v>
      </c>
      <c r="J41" s="61"/>
      <c r="K41" s="68"/>
      <c r="L41" s="58"/>
      <c r="M41" s="69"/>
      <c r="N41" s="166"/>
      <c r="O41" s="166"/>
      <c r="P41" s="166"/>
      <c r="Q41" s="175"/>
      <c r="R41" s="175"/>
      <c r="S41" s="178"/>
      <c r="T41" s="49"/>
      <c r="U41" s="62"/>
      <c r="V41" s="49"/>
      <c r="W41" s="49"/>
      <c r="X41" s="49"/>
      <c r="Y41" s="49"/>
      <c r="Z41" s="49"/>
      <c r="AA41" s="56"/>
      <c r="AB41" s="56"/>
      <c r="AC41" s="49"/>
      <c r="AD41" s="62"/>
      <c r="AE41" s="49"/>
      <c r="AF41" s="49"/>
      <c r="AG41" s="49"/>
      <c r="AH41" s="49"/>
      <c r="AI41" s="49"/>
      <c r="AJ41" s="56"/>
      <c r="AK41" s="56"/>
      <c r="AL41" s="49"/>
      <c r="AM41" s="62"/>
      <c r="AN41" s="49"/>
    </row>
    <row r="42" spans="1:40" ht="15.75" customHeight="1" outlineLevel="1" x14ac:dyDescent="0.3">
      <c r="A42" s="3"/>
      <c r="B42" s="70"/>
      <c r="C42" s="10"/>
      <c r="D42" s="10"/>
      <c r="E42" s="6"/>
      <c r="F42" s="6"/>
      <c r="G42" s="6"/>
      <c r="H42" s="3"/>
      <c r="I42" s="138"/>
      <c r="J42" s="140"/>
      <c r="K42" s="68"/>
      <c r="L42" s="57"/>
      <c r="M42" s="6"/>
      <c r="N42" s="162"/>
      <c r="O42" s="162"/>
      <c r="P42" s="162"/>
      <c r="Q42" s="163"/>
      <c r="R42" s="163"/>
      <c r="S42" s="162"/>
      <c r="T42" s="3"/>
      <c r="U42" s="3"/>
      <c r="V42" s="3"/>
      <c r="W42" s="3"/>
      <c r="X42" s="3"/>
      <c r="Y42" s="3"/>
      <c r="Z42" s="3"/>
      <c r="AA42" s="3"/>
      <c r="AB42" s="6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1:40" ht="15.75" customHeight="1" outlineLevel="1" x14ac:dyDescent="0.3">
      <c r="A43" s="3"/>
      <c r="B43" s="69" t="s">
        <v>64</v>
      </c>
      <c r="C43" s="10"/>
      <c r="D43" s="10"/>
      <c r="E43" s="6"/>
      <c r="F43" s="6"/>
      <c r="G43" s="6"/>
      <c r="H43" s="3"/>
      <c r="I43" s="138"/>
      <c r="J43" s="140"/>
      <c r="K43" s="68"/>
      <c r="L43" s="57"/>
      <c r="M43" s="6"/>
      <c r="N43" s="162"/>
      <c r="O43" s="162"/>
      <c r="P43" s="162"/>
      <c r="Q43" s="163"/>
      <c r="R43" s="163"/>
      <c r="S43" s="162"/>
      <c r="T43" s="3"/>
      <c r="U43" s="3"/>
      <c r="V43" s="3"/>
      <c r="W43" s="3"/>
      <c r="X43" s="3"/>
      <c r="Y43" s="3"/>
      <c r="Z43" s="3"/>
      <c r="AA43" s="3"/>
      <c r="AB43" s="6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1:40" ht="15.75" customHeight="1" outlineLevel="1" x14ac:dyDescent="0.3">
      <c r="A44" s="3"/>
      <c r="B44" s="62"/>
      <c r="C44" s="10"/>
      <c r="D44" s="10"/>
      <c r="E44" s="6"/>
      <c r="F44" s="6"/>
      <c r="G44" s="6"/>
      <c r="H44" s="3"/>
      <c r="I44" s="138"/>
      <c r="J44" s="140"/>
      <c r="K44" s="58"/>
      <c r="L44" s="57"/>
      <c r="M44" s="6"/>
      <c r="N44" s="162"/>
      <c r="O44" s="162"/>
      <c r="P44" s="162"/>
      <c r="Q44" s="163"/>
      <c r="R44" s="163"/>
      <c r="S44" s="162"/>
      <c r="T44" s="3"/>
      <c r="U44" s="3"/>
      <c r="V44" s="3"/>
      <c r="W44" s="3"/>
      <c r="X44" s="3"/>
      <c r="Y44" s="3"/>
      <c r="Z44" s="3"/>
      <c r="AA44" s="3"/>
      <c r="AB44" s="6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1:40" ht="15.75" customHeight="1" outlineLevel="1" x14ac:dyDescent="0.3">
      <c r="A45" s="3"/>
      <c r="B45" s="18" t="str">
        <f>+B35</f>
        <v>ETAPA I</v>
      </c>
      <c r="C45" s="15"/>
      <c r="D45" s="15"/>
      <c r="E45" s="6"/>
      <c r="F45" s="6">
        <f>+F27/2</f>
        <v>13176.5</v>
      </c>
      <c r="G45" s="6"/>
      <c r="H45" s="6"/>
      <c r="I45" s="138">
        <f>G45*F45</f>
        <v>0</v>
      </c>
      <c r="J45" s="61"/>
      <c r="K45" s="58"/>
      <c r="L45" s="57"/>
      <c r="M45" s="6"/>
      <c r="N45" s="162"/>
      <c r="O45" s="162"/>
      <c r="P45" s="162"/>
      <c r="Q45" s="163"/>
      <c r="R45" s="163"/>
      <c r="S45" s="162"/>
      <c r="T45" s="3"/>
      <c r="U45" s="3"/>
      <c r="V45" s="3"/>
      <c r="W45" s="3"/>
      <c r="X45" s="3"/>
      <c r="Y45" s="3"/>
      <c r="Z45" s="3"/>
      <c r="AA45" s="3"/>
      <c r="AB45" s="6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spans="1:40" ht="15.75" customHeight="1" outlineLevel="1" x14ac:dyDescent="0.3">
      <c r="A46" s="3"/>
      <c r="B46" s="18"/>
      <c r="C46" s="15"/>
      <c r="D46" s="15"/>
      <c r="E46" s="6"/>
      <c r="F46" s="6"/>
      <c r="G46" s="6"/>
      <c r="H46" s="6"/>
      <c r="I46" s="138"/>
      <c r="J46" s="61"/>
      <c r="K46" s="58"/>
      <c r="L46" s="57"/>
      <c r="M46" s="6"/>
      <c r="N46" s="162"/>
      <c r="O46" s="162"/>
      <c r="P46" s="162"/>
      <c r="Q46" s="163"/>
      <c r="R46" s="163"/>
      <c r="S46" s="162"/>
      <c r="T46" s="3"/>
      <c r="U46" s="3"/>
      <c r="V46" s="3"/>
      <c r="W46" s="3"/>
      <c r="X46" s="3"/>
      <c r="Y46" s="3"/>
      <c r="Z46" s="3"/>
      <c r="AA46" s="3"/>
      <c r="AB46" s="6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1:40" ht="15.75" customHeight="1" outlineLevel="1" x14ac:dyDescent="0.3">
      <c r="A47" s="3"/>
      <c r="B47" s="18" t="str">
        <f>+B39</f>
        <v>ETAPA II</v>
      </c>
      <c r="C47" s="15"/>
      <c r="D47" s="15"/>
      <c r="E47" s="6"/>
      <c r="F47" s="6">
        <f>+F45</f>
        <v>13176.5</v>
      </c>
      <c r="G47" s="6"/>
      <c r="H47" s="6"/>
      <c r="I47" s="138">
        <f>G47*F47</f>
        <v>0</v>
      </c>
      <c r="J47" s="61"/>
      <c r="K47" s="58"/>
      <c r="L47" s="57"/>
      <c r="M47" s="6"/>
      <c r="N47" s="162"/>
      <c r="O47" s="162"/>
      <c r="P47" s="162"/>
      <c r="Q47" s="163"/>
      <c r="R47" s="163"/>
      <c r="S47" s="162"/>
      <c r="T47" s="3"/>
      <c r="U47" s="3"/>
      <c r="V47" s="3"/>
      <c r="W47" s="3"/>
      <c r="X47" s="3"/>
      <c r="Y47" s="3"/>
      <c r="Z47" s="3"/>
      <c r="AA47" s="3"/>
      <c r="AB47" s="6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spans="1:40" ht="15.75" customHeight="1" outlineLevel="1" x14ac:dyDescent="0.3">
      <c r="A48" s="3"/>
      <c r="B48" s="18"/>
      <c r="C48" s="10"/>
      <c r="D48" s="10"/>
      <c r="E48" s="6"/>
      <c r="F48" s="6"/>
      <c r="G48" s="6"/>
      <c r="H48" s="3"/>
      <c r="I48" s="138"/>
      <c r="J48" s="61"/>
      <c r="K48" s="58"/>
      <c r="L48" s="57"/>
      <c r="M48" s="6"/>
      <c r="N48" s="162"/>
      <c r="O48" s="162"/>
      <c r="P48" s="162"/>
      <c r="Q48" s="163"/>
      <c r="R48" s="163"/>
      <c r="S48" s="162"/>
      <c r="T48" s="3"/>
      <c r="U48" s="3"/>
      <c r="V48" s="3"/>
      <c r="W48" s="3"/>
      <c r="X48" s="3"/>
      <c r="Y48" s="3"/>
      <c r="Z48" s="3"/>
      <c r="AA48" s="3"/>
      <c r="AB48" s="6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spans="1:40" ht="15.75" customHeight="1" outlineLevel="1" x14ac:dyDescent="0.3">
      <c r="A49" s="3"/>
      <c r="B49" s="69" t="s">
        <v>65</v>
      </c>
      <c r="C49" s="60">
        <v>0.02</v>
      </c>
      <c r="D49" s="10"/>
      <c r="E49" s="6"/>
      <c r="F49" s="6"/>
      <c r="G49" s="6"/>
      <c r="H49" s="3"/>
      <c r="I49" s="138">
        <f>+SUM(I35:I47)*C49</f>
        <v>18435833.600000001</v>
      </c>
      <c r="J49" s="61"/>
      <c r="K49" s="58"/>
      <c r="L49" s="57"/>
      <c r="M49" s="6"/>
      <c r="N49" s="162"/>
      <c r="O49" s="162"/>
      <c r="P49" s="162"/>
      <c r="Q49" s="163"/>
      <c r="R49" s="163"/>
      <c r="S49" s="162"/>
      <c r="T49" s="3"/>
      <c r="U49" s="3"/>
      <c r="V49" s="3"/>
      <c r="W49" s="3"/>
      <c r="X49" s="3"/>
      <c r="Y49" s="3"/>
      <c r="Z49" s="3"/>
      <c r="AA49" s="3"/>
      <c r="AB49" s="6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spans="1:40" ht="15.75" customHeight="1" x14ac:dyDescent="0.3">
      <c r="A50" s="3"/>
      <c r="C50" s="10"/>
      <c r="D50" s="6"/>
      <c r="E50" s="6"/>
      <c r="F50" s="6"/>
      <c r="G50" s="6"/>
      <c r="H50" s="3"/>
      <c r="I50" s="138"/>
      <c r="J50" s="61"/>
      <c r="K50" s="58"/>
      <c r="L50" s="57"/>
      <c r="M50" s="3"/>
      <c r="N50" s="162"/>
      <c r="O50" s="162"/>
      <c r="P50" s="162"/>
      <c r="Q50" s="163"/>
      <c r="R50" s="163"/>
      <c r="S50" s="162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spans="1:40" ht="15.75" customHeight="1" x14ac:dyDescent="0.3">
      <c r="A51" s="49"/>
      <c r="B51" s="50" t="s">
        <v>29</v>
      </c>
      <c r="C51" s="51"/>
      <c r="D51" s="51"/>
      <c r="E51" s="51"/>
      <c r="F51" s="51"/>
      <c r="G51" s="51"/>
      <c r="H51" s="137"/>
      <c r="I51" s="52">
        <f>SUM(I53:I64)</f>
        <v>11172068.568</v>
      </c>
      <c r="J51" s="53">
        <f>I51/$J$6</f>
        <v>180194.65432258064</v>
      </c>
      <c r="K51" s="55">
        <f>I51/$I$87</f>
        <v>8.4335148588943667E-3</v>
      </c>
      <c r="L51" s="55">
        <f>+I51/$I$21</f>
        <v>6.7269198988439303E-3</v>
      </c>
      <c r="M51" s="49"/>
      <c r="N51" s="182"/>
      <c r="O51" s="173"/>
      <c r="P51" s="173"/>
      <c r="Q51" s="178"/>
      <c r="R51" s="178"/>
      <c r="S51" s="178"/>
      <c r="T51" s="49"/>
      <c r="U51" s="62"/>
      <c r="V51" s="49"/>
      <c r="W51" s="49"/>
      <c r="X51" s="49"/>
      <c r="Y51" s="49"/>
      <c r="Z51" s="49"/>
      <c r="AA51" s="56"/>
      <c r="AB51" s="56"/>
      <c r="AC51" s="49"/>
      <c r="AD51" s="62"/>
      <c r="AE51" s="49"/>
      <c r="AF51" s="49"/>
      <c r="AG51" s="49"/>
      <c r="AH51" s="49"/>
      <c r="AI51" s="49"/>
      <c r="AJ51" s="56"/>
      <c r="AK51" s="56"/>
      <c r="AL51" s="49"/>
      <c r="AM51" s="62"/>
      <c r="AN51" s="49"/>
    </row>
    <row r="52" spans="1:40" ht="15.75" customHeight="1" outlineLevel="1" x14ac:dyDescent="0.3">
      <c r="A52" s="3"/>
      <c r="C52" s="10"/>
      <c r="D52" s="6"/>
      <c r="E52" s="6"/>
      <c r="F52" s="6"/>
      <c r="G52" s="6"/>
      <c r="H52" s="3"/>
      <c r="I52" s="138"/>
      <c r="J52" s="61"/>
      <c r="K52" s="58"/>
      <c r="L52" s="57"/>
      <c r="M52" s="3"/>
      <c r="N52" s="183"/>
      <c r="O52" s="162"/>
      <c r="P52" s="162"/>
      <c r="Q52" s="163"/>
      <c r="R52" s="163"/>
      <c r="S52" s="162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1:40" ht="15.75" customHeight="1" outlineLevel="1" x14ac:dyDescent="0.3">
      <c r="A53" s="3"/>
      <c r="B53" s="74" t="s">
        <v>30</v>
      </c>
      <c r="C53" s="75">
        <v>2.0999999999999999E-3</v>
      </c>
      <c r="D53" s="6"/>
      <c r="E53" s="6"/>
      <c r="F53" s="6"/>
      <c r="G53" s="6"/>
      <c r="H53" s="3"/>
      <c r="I53" s="138">
        <f>(3727620+489700)</f>
        <v>4217320</v>
      </c>
      <c r="J53" s="61"/>
      <c r="K53" s="58"/>
      <c r="L53" s="57"/>
      <c r="M53" s="3"/>
      <c r="N53" s="183"/>
      <c r="O53" s="162"/>
      <c r="P53" s="162"/>
      <c r="Q53" s="163"/>
      <c r="R53" s="163"/>
      <c r="S53" s="162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1:40" ht="15.75" customHeight="1" outlineLevel="1" x14ac:dyDescent="0.3">
      <c r="A54" s="3"/>
      <c r="B54" s="76" t="s">
        <v>31</v>
      </c>
      <c r="C54" s="75"/>
      <c r="D54" s="6"/>
      <c r="E54" s="6"/>
      <c r="F54" s="6"/>
      <c r="G54" s="6"/>
      <c r="H54" s="3"/>
      <c r="I54" s="138">
        <f>60000*1.18</f>
        <v>70800</v>
      </c>
      <c r="J54" s="61"/>
      <c r="K54" s="7"/>
      <c r="L54" s="8"/>
      <c r="M54" s="3"/>
      <c r="N54" s="183"/>
      <c r="O54" s="162"/>
      <c r="P54" s="162"/>
      <c r="Q54" s="163"/>
      <c r="R54" s="163"/>
      <c r="S54" s="162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1:40" ht="15.75" customHeight="1" outlineLevel="1" x14ac:dyDescent="0.3">
      <c r="A55" s="3"/>
      <c r="B55" s="76" t="s">
        <v>32</v>
      </c>
      <c r="C55" s="75"/>
      <c r="D55" s="6"/>
      <c r="E55" s="6"/>
      <c r="F55" s="6"/>
      <c r="G55" s="6"/>
      <c r="H55" s="3"/>
      <c r="I55" s="138">
        <v>23010</v>
      </c>
      <c r="J55" s="61"/>
      <c r="K55" s="7"/>
      <c r="L55" s="8"/>
      <c r="M55" s="3"/>
      <c r="N55" s="183"/>
      <c r="O55" s="162"/>
      <c r="P55" s="162"/>
      <c r="Q55" s="163"/>
      <c r="R55" s="163"/>
      <c r="S55" s="162"/>
      <c r="T55" s="3"/>
      <c r="U55" s="3"/>
      <c r="V55" s="3"/>
      <c r="W55" s="3"/>
      <c r="X55" s="3"/>
      <c r="Y55" s="3"/>
      <c r="Z55" s="3"/>
      <c r="AA55" s="6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1:40" ht="15.75" customHeight="1" outlineLevel="1" x14ac:dyDescent="0.3">
      <c r="A56" s="3"/>
      <c r="B56" s="76" t="s">
        <v>66</v>
      </c>
      <c r="C56" s="75"/>
      <c r="D56" s="6"/>
      <c r="E56" s="6"/>
      <c r="F56" s="6"/>
      <c r="G56" s="6"/>
      <c r="H56" s="3"/>
      <c r="I56" s="138">
        <v>350000</v>
      </c>
      <c r="J56" s="61"/>
      <c r="K56" s="7"/>
      <c r="L56" s="8"/>
      <c r="M56" s="3"/>
      <c r="N56" s="183"/>
      <c r="O56" s="162"/>
      <c r="P56" s="162"/>
      <c r="Q56" s="163"/>
      <c r="R56" s="163"/>
      <c r="S56" s="162"/>
      <c r="T56" s="3"/>
      <c r="U56" s="3"/>
      <c r="V56" s="3"/>
      <c r="W56" s="3"/>
      <c r="X56" s="3"/>
      <c r="Y56" s="3"/>
      <c r="Z56" s="3"/>
      <c r="AA56" s="6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1:40" ht="15.75" customHeight="1" outlineLevel="1" x14ac:dyDescent="0.3">
      <c r="A57" s="3"/>
      <c r="B57" s="76"/>
      <c r="C57" s="75"/>
      <c r="D57" s="6"/>
      <c r="E57" s="6"/>
      <c r="F57" s="6"/>
      <c r="G57" s="6"/>
      <c r="H57" s="3"/>
      <c r="I57" s="138"/>
      <c r="J57" s="61"/>
      <c r="K57" s="7"/>
      <c r="L57" s="8"/>
      <c r="M57" s="3"/>
      <c r="N57" s="183"/>
      <c r="O57" s="162"/>
      <c r="P57" s="162"/>
      <c r="Q57" s="163"/>
      <c r="R57" s="163"/>
      <c r="S57" s="162"/>
      <c r="T57" s="3"/>
      <c r="U57" s="3"/>
      <c r="V57" s="3"/>
      <c r="W57" s="3"/>
      <c r="X57" s="3"/>
      <c r="Y57" s="3"/>
      <c r="Z57" s="3"/>
      <c r="AA57" s="6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1:40" ht="15.75" customHeight="1" outlineLevel="1" x14ac:dyDescent="0.3">
      <c r="A58" s="3"/>
      <c r="B58" s="76" t="s">
        <v>67</v>
      </c>
      <c r="C58" s="75"/>
      <c r="D58" s="6"/>
      <c r="E58" s="6"/>
      <c r="F58" s="6"/>
      <c r="G58" s="6"/>
      <c r="H58" s="3"/>
      <c r="I58" s="138">
        <v>40000</v>
      </c>
      <c r="J58" s="61"/>
      <c r="K58" s="7"/>
      <c r="L58" s="8"/>
      <c r="M58" s="3"/>
      <c r="N58" s="183"/>
      <c r="O58" s="162"/>
      <c r="P58" s="162"/>
      <c r="Q58" s="163"/>
      <c r="R58" s="163"/>
      <c r="S58" s="162"/>
      <c r="T58" s="3"/>
      <c r="U58" s="3"/>
      <c r="V58" s="3"/>
      <c r="W58" s="3"/>
      <c r="X58" s="3"/>
      <c r="Y58" s="3"/>
      <c r="Z58" s="3"/>
      <c r="AA58" s="6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1:40" ht="15.75" customHeight="1" outlineLevel="1" x14ac:dyDescent="0.3">
      <c r="A59" s="3"/>
      <c r="B59" s="76" t="s">
        <v>33</v>
      </c>
      <c r="C59" s="75"/>
      <c r="D59" s="6"/>
      <c r="E59" s="6"/>
      <c r="F59" s="6"/>
      <c r="G59" s="6"/>
      <c r="H59" s="3"/>
      <c r="I59" s="138">
        <v>180898.6</v>
      </c>
      <c r="J59" s="61"/>
      <c r="K59" s="58"/>
      <c r="L59" s="57"/>
      <c r="M59" s="6"/>
      <c r="N59" s="183"/>
      <c r="O59" s="162"/>
      <c r="P59" s="162"/>
      <c r="Q59" s="163"/>
      <c r="R59" s="163"/>
      <c r="S59" s="162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1:40" ht="15.75" customHeight="1" outlineLevel="1" x14ac:dyDescent="0.3">
      <c r="A60" s="3"/>
      <c r="B60" s="76" t="s">
        <v>34</v>
      </c>
      <c r="C60" s="75"/>
      <c r="D60" s="6"/>
      <c r="E60" s="6"/>
      <c r="F60" s="6"/>
      <c r="G60" s="6"/>
      <c r="H60" s="3"/>
      <c r="I60" s="138">
        <v>200000</v>
      </c>
      <c r="J60" s="61"/>
      <c r="K60" s="58"/>
      <c r="L60" s="57"/>
      <c r="M60" s="6"/>
      <c r="N60" s="73"/>
      <c r="O60" s="3"/>
      <c r="P60" s="3"/>
      <c r="Q60" s="6"/>
      <c r="R60" s="6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pans="1:40" ht="15.75" customHeight="1" outlineLevel="1" x14ac:dyDescent="0.3">
      <c r="A61" s="3"/>
      <c r="B61" s="76" t="s">
        <v>35</v>
      </c>
      <c r="C61" s="77"/>
      <c r="D61" s="6"/>
      <c r="E61" s="6"/>
      <c r="F61" s="6"/>
      <c r="G61" s="6"/>
      <c r="H61" s="3"/>
      <c r="I61" s="138">
        <f>1330092.4+58810</f>
        <v>1388902.3999999999</v>
      </c>
      <c r="J61" s="61"/>
      <c r="K61" s="58"/>
      <c r="L61" s="57"/>
      <c r="M61" s="6"/>
      <c r="N61" s="73"/>
      <c r="O61" s="3"/>
      <c r="P61" s="3"/>
      <c r="Q61" s="6"/>
      <c r="R61" s="6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1:40" ht="15.75" customHeight="1" outlineLevel="1" x14ac:dyDescent="0.3">
      <c r="A62" s="3"/>
      <c r="B62" s="74"/>
      <c r="C62" s="77"/>
      <c r="D62" s="6"/>
      <c r="E62" s="6"/>
      <c r="F62" s="6"/>
      <c r="G62" s="6"/>
      <c r="H62" s="3"/>
      <c r="I62" s="138"/>
      <c r="J62" s="61"/>
      <c r="K62" s="58"/>
      <c r="L62" s="57"/>
      <c r="M62" s="3"/>
      <c r="N62" s="73"/>
      <c r="O62" s="3"/>
      <c r="P62" s="3"/>
      <c r="Q62" s="6"/>
      <c r="R62" s="6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1:40" ht="15.75" customHeight="1" outlineLevel="1" x14ac:dyDescent="0.3">
      <c r="A63" s="3"/>
      <c r="B63" s="74" t="s">
        <v>36</v>
      </c>
      <c r="C63" s="77">
        <v>5.0000000000000001E-3</v>
      </c>
      <c r="D63" s="6"/>
      <c r="E63" s="6"/>
      <c r="F63" s="6"/>
      <c r="G63" s="6"/>
      <c r="H63" s="3"/>
      <c r="I63" s="138">
        <f>+I31*C63</f>
        <v>4701137.568</v>
      </c>
      <c r="J63" s="61"/>
      <c r="K63" s="58"/>
      <c r="L63" s="57"/>
      <c r="M63" s="3"/>
      <c r="N63" s="73"/>
      <c r="O63" s="3"/>
      <c r="P63" s="3"/>
      <c r="Q63" s="6"/>
      <c r="R63" s="6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1:40" ht="15.75" customHeight="1" x14ac:dyDescent="0.3">
      <c r="A64" s="3"/>
      <c r="B64" s="79"/>
      <c r="C64" s="78"/>
      <c r="D64" s="8"/>
      <c r="E64" s="8"/>
      <c r="F64" s="8"/>
      <c r="G64" s="8"/>
      <c r="H64" s="79"/>
      <c r="I64" s="141"/>
      <c r="J64" s="80"/>
      <c r="K64" s="58"/>
      <c r="L64" s="57"/>
      <c r="M64" s="3"/>
      <c r="N64" s="3"/>
      <c r="O64" s="3"/>
      <c r="P64" s="3"/>
      <c r="Q64" s="6"/>
      <c r="R64" s="6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1:40" ht="15.75" customHeight="1" x14ac:dyDescent="0.3">
      <c r="A65" s="49"/>
      <c r="B65" s="50" t="s">
        <v>37</v>
      </c>
      <c r="C65" s="51"/>
      <c r="D65" s="51"/>
      <c r="E65" s="51"/>
      <c r="F65" s="51"/>
      <c r="G65" s="51"/>
      <c r="H65" s="137"/>
      <c r="I65" s="52">
        <f>+SUM(I66:I73)</f>
        <v>37728406.801920004</v>
      </c>
      <c r="J65" s="53">
        <f>I65/$J$6</f>
        <v>608522.6903535485</v>
      </c>
      <c r="K65" s="55">
        <f>I65/$I$87</f>
        <v>2.8480229729145327E-2</v>
      </c>
      <c r="L65" s="55">
        <f>+I65/$I$21</f>
        <v>2.271700794913295E-2</v>
      </c>
      <c r="M65" s="49"/>
      <c r="N65" s="49"/>
      <c r="O65" s="49"/>
      <c r="P65" s="49"/>
      <c r="Q65" s="56"/>
      <c r="R65" s="56"/>
      <c r="S65" s="56"/>
      <c r="T65" s="49"/>
      <c r="U65" s="62"/>
      <c r="V65" s="49"/>
      <c r="W65" s="49"/>
      <c r="X65" s="49"/>
      <c r="Y65" s="49"/>
      <c r="Z65" s="49"/>
      <c r="AA65" s="56"/>
      <c r="AB65" s="56"/>
      <c r="AC65" s="49"/>
      <c r="AD65" s="62"/>
      <c r="AE65" s="49"/>
      <c r="AF65" s="49"/>
      <c r="AG65" s="49"/>
      <c r="AH65" s="49"/>
      <c r="AI65" s="49"/>
      <c r="AJ65" s="56"/>
      <c r="AK65" s="56"/>
      <c r="AL65" s="49"/>
      <c r="AM65" s="62"/>
      <c r="AN65" s="49"/>
    </row>
    <row r="66" spans="1:40" ht="15.75" customHeight="1" outlineLevel="1" x14ac:dyDescent="0.3">
      <c r="A66" s="74"/>
      <c r="B66" s="74" t="s">
        <v>38</v>
      </c>
      <c r="C66" s="77">
        <v>5.0000000000000001E-3</v>
      </c>
      <c r="D66" s="82"/>
      <c r="E66" s="82"/>
      <c r="F66" s="82"/>
      <c r="G66" s="82"/>
      <c r="H66" s="74"/>
      <c r="I66" s="142">
        <f>+C66*I31</f>
        <v>4701137.568</v>
      </c>
      <c r="J66" s="87"/>
      <c r="K66" s="58"/>
      <c r="L66" s="84"/>
      <c r="M66" s="74"/>
      <c r="N66" s="74"/>
      <c r="O66" s="74"/>
      <c r="P66" s="74"/>
      <c r="Q66" s="82"/>
      <c r="R66" s="82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1:40" ht="15.75" customHeight="1" outlineLevel="1" x14ac:dyDescent="0.3">
      <c r="A67" s="74"/>
      <c r="B67" s="74" t="s">
        <v>39</v>
      </c>
      <c r="C67" s="77">
        <v>5.0000000000000001E-3</v>
      </c>
      <c r="D67" s="82"/>
      <c r="E67" s="82"/>
      <c r="F67" s="82"/>
      <c r="G67" s="82"/>
      <c r="H67" s="74"/>
      <c r="I67" s="142">
        <f>+C67*I31</f>
        <v>4701137.568</v>
      </c>
      <c r="J67" s="87"/>
      <c r="K67" s="58"/>
      <c r="L67" s="84"/>
      <c r="M67" s="74"/>
      <c r="N67" s="74"/>
      <c r="O67" s="74"/>
      <c r="P67" s="74"/>
      <c r="Q67" s="82"/>
      <c r="R67" s="82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1:40" ht="15.75" customHeight="1" outlineLevel="1" x14ac:dyDescent="0.3">
      <c r="A68" s="3"/>
      <c r="B68" s="74" t="s">
        <v>40</v>
      </c>
      <c r="C68" s="77">
        <v>5.0000000000000001E-3</v>
      </c>
      <c r="D68" s="79"/>
      <c r="E68" s="79"/>
      <c r="F68" s="79"/>
      <c r="G68" s="3"/>
      <c r="H68" s="3"/>
      <c r="I68" s="142">
        <f>C68*$I$31</f>
        <v>4701137.568</v>
      </c>
      <c r="J68" s="87"/>
      <c r="K68" s="58"/>
      <c r="L68" s="57"/>
      <c r="M68" s="3"/>
      <c r="N68" s="3"/>
      <c r="O68" s="3"/>
      <c r="P68" s="3"/>
      <c r="Q68" s="6"/>
      <c r="R68" s="6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1:40" ht="15.75" customHeight="1" outlineLevel="1" x14ac:dyDescent="0.3">
      <c r="A69" s="3"/>
      <c r="B69" s="74" t="s">
        <v>41</v>
      </c>
      <c r="C69" s="77">
        <v>0.18</v>
      </c>
      <c r="D69" s="79"/>
      <c r="E69" s="79"/>
      <c r="F69" s="79"/>
      <c r="G69" s="3"/>
      <c r="H69" s="3"/>
      <c r="I69" s="138">
        <f>+SUM(I66:I68)*C69</f>
        <v>2538614.2867199997</v>
      </c>
      <c r="J69" s="61"/>
      <c r="K69" s="58"/>
      <c r="L69" s="57"/>
      <c r="M69" s="3"/>
      <c r="N69" s="3"/>
      <c r="O69" s="3"/>
      <c r="P69" s="3"/>
      <c r="Q69" s="6"/>
      <c r="R69" s="6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1:40" ht="15.75" customHeight="1" outlineLevel="1" x14ac:dyDescent="0.3">
      <c r="A70" s="3"/>
      <c r="B70" s="74" t="s">
        <v>42</v>
      </c>
      <c r="C70" s="85">
        <f>+(0.85%*1.18)</f>
        <v>1.0030000000000001E-2</v>
      </c>
      <c r="D70" s="79"/>
      <c r="E70" s="79"/>
      <c r="F70" s="79"/>
      <c r="G70" s="3"/>
      <c r="H70" s="3"/>
      <c r="I70" s="138">
        <f>+C70*I21</f>
        <v>16657824.000000002</v>
      </c>
      <c r="J70" s="61"/>
      <c r="K70" s="58"/>
      <c r="L70" s="57"/>
      <c r="M70" s="3"/>
      <c r="N70" s="3"/>
      <c r="O70" s="143"/>
      <c r="P70" s="3"/>
      <c r="Q70" s="6"/>
      <c r="R70" s="6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1:40" ht="15.75" customHeight="1" outlineLevel="1" x14ac:dyDescent="0.3">
      <c r="A71" s="3"/>
      <c r="B71" s="3" t="s">
        <v>43</v>
      </c>
      <c r="C71" s="78"/>
      <c r="D71" s="79"/>
      <c r="E71" s="79"/>
      <c r="F71" s="79"/>
      <c r="G71" s="79"/>
      <c r="H71" s="79"/>
      <c r="I71" s="138">
        <f>1593*J6*2</f>
        <v>197532</v>
      </c>
      <c r="J71" s="80"/>
      <c r="K71" s="58"/>
      <c r="L71" s="57"/>
      <c r="M71" s="3"/>
      <c r="N71" s="3"/>
      <c r="O71" s="143"/>
      <c r="P71" s="3"/>
      <c r="Q71" s="6"/>
      <c r="R71" s="6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1:40" ht="15.75" customHeight="1" outlineLevel="1" x14ac:dyDescent="0.3">
      <c r="A72" s="3"/>
      <c r="B72" s="3" t="s">
        <v>44</v>
      </c>
      <c r="C72" s="78"/>
      <c r="D72" s="79"/>
      <c r="E72" s="79"/>
      <c r="F72" s="79"/>
      <c r="G72" s="79"/>
      <c r="H72" s="79"/>
      <c r="I72" s="138">
        <f>+I31*0.45%</f>
        <v>4231023.8112000003</v>
      </c>
      <c r="J72" s="80"/>
      <c r="K72" s="58"/>
      <c r="L72" s="57"/>
      <c r="M72" s="3"/>
      <c r="N72" s="3"/>
      <c r="O72" s="3"/>
      <c r="P72" s="3"/>
      <c r="Q72" s="6"/>
      <c r="R72" s="6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1:40" ht="15.75" customHeight="1" x14ac:dyDescent="0.3">
      <c r="A73" s="3"/>
      <c r="B73" s="3"/>
      <c r="C73" s="78"/>
      <c r="D73" s="79"/>
      <c r="E73" s="79"/>
      <c r="F73" s="79"/>
      <c r="G73" s="79"/>
      <c r="H73" s="79"/>
      <c r="I73" s="138"/>
      <c r="J73" s="80"/>
      <c r="K73" s="58"/>
      <c r="L73" s="57"/>
      <c r="M73" s="3"/>
      <c r="N73" s="3"/>
      <c r="O73" s="3"/>
      <c r="P73" s="3"/>
      <c r="Q73" s="6"/>
      <c r="R73" s="6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1:40" ht="15.75" customHeight="1" x14ac:dyDescent="0.3">
      <c r="A74" s="49"/>
      <c r="B74" s="50" t="s">
        <v>45</v>
      </c>
      <c r="C74" s="51"/>
      <c r="D74" s="51"/>
      <c r="E74" s="51"/>
      <c r="F74" s="51"/>
      <c r="G74" s="51"/>
      <c r="H74" s="137"/>
      <c r="I74" s="52">
        <f>+SUM(I75:I77)</f>
        <v>95756190.275392681</v>
      </c>
      <c r="J74" s="53">
        <f>I74/$J$6</f>
        <v>1544454.6818611722</v>
      </c>
      <c r="K74" s="55">
        <f>I74/$I$87</f>
        <v>7.2283950693941043E-2</v>
      </c>
      <c r="L74" s="55">
        <f>+I74/$I$21</f>
        <v>5.7656665628247041E-2</v>
      </c>
      <c r="M74" s="49"/>
      <c r="N74" s="49"/>
      <c r="O74" s="49"/>
      <c r="P74" s="49"/>
      <c r="Q74" s="56"/>
      <c r="R74" s="56"/>
      <c r="S74" s="56"/>
      <c r="T74" s="49"/>
      <c r="U74" s="62"/>
      <c r="V74" s="49"/>
      <c r="W74" s="49"/>
      <c r="X74" s="49"/>
      <c r="Y74" s="49"/>
      <c r="Z74" s="49"/>
      <c r="AA74" s="56"/>
      <c r="AB74" s="56"/>
      <c r="AC74" s="49"/>
      <c r="AD74" s="62"/>
      <c r="AE74" s="49"/>
      <c r="AF74" s="49"/>
      <c r="AG74" s="49"/>
      <c r="AH74" s="49"/>
      <c r="AI74" s="49"/>
      <c r="AJ74" s="56"/>
      <c r="AK74" s="56"/>
      <c r="AL74" s="49"/>
      <c r="AM74" s="62"/>
      <c r="AN74" s="49"/>
    </row>
    <row r="75" spans="1:40" ht="15.75" customHeight="1" outlineLevel="1" x14ac:dyDescent="0.3">
      <c r="A75" s="3"/>
      <c r="B75" s="3" t="s">
        <v>46</v>
      </c>
      <c r="C75" s="86">
        <v>0.15</v>
      </c>
      <c r="D75" s="79"/>
      <c r="E75" s="79"/>
      <c r="F75" s="79"/>
      <c r="G75" s="79"/>
      <c r="H75" s="79"/>
      <c r="I75" s="138">
        <v>95756190.275392681</v>
      </c>
      <c r="J75" s="80"/>
      <c r="K75" s="58"/>
      <c r="L75" s="57"/>
      <c r="M75" s="3"/>
      <c r="N75" s="3"/>
      <c r="O75" s="3"/>
      <c r="P75" s="3"/>
      <c r="Q75" s="6"/>
      <c r="R75" s="6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1:40" ht="15.75" customHeight="1" outlineLevel="1" x14ac:dyDescent="0.3">
      <c r="A76" s="3"/>
      <c r="B76" s="3" t="s">
        <v>68</v>
      </c>
      <c r="C76" s="86"/>
      <c r="D76" s="79"/>
      <c r="E76" s="79"/>
      <c r="F76" s="79"/>
      <c r="G76" s="79"/>
      <c r="H76" s="79"/>
      <c r="I76" s="138">
        <v>0</v>
      </c>
      <c r="J76" s="80"/>
      <c r="K76" s="58"/>
      <c r="L76" s="57"/>
      <c r="M76" s="3"/>
      <c r="N76" s="3"/>
      <c r="O76" s="3"/>
      <c r="P76" s="3"/>
      <c r="Q76" s="6"/>
      <c r="R76" s="6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1:40" ht="15.75" customHeight="1" x14ac:dyDescent="0.3">
      <c r="A77" s="3"/>
      <c r="B77" s="79"/>
      <c r="C77" s="78"/>
      <c r="D77" s="79"/>
      <c r="E77" s="79"/>
      <c r="F77" s="79"/>
      <c r="G77" s="79"/>
      <c r="H77" s="79"/>
      <c r="I77" s="138"/>
      <c r="J77" s="80"/>
      <c r="K77" s="58"/>
      <c r="L77" s="57"/>
      <c r="M77" s="3"/>
      <c r="N77" s="3"/>
      <c r="O77" s="3"/>
      <c r="P77" s="3"/>
      <c r="Q77" s="6"/>
      <c r="R77" s="6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1:40" ht="15.75" customHeight="1" x14ac:dyDescent="0.3">
      <c r="A78" s="49"/>
      <c r="B78" s="50" t="s">
        <v>48</v>
      </c>
      <c r="C78" s="51"/>
      <c r="D78" s="51"/>
      <c r="E78" s="51"/>
      <c r="F78" s="51"/>
      <c r="G78" s="51"/>
      <c r="H78" s="137"/>
      <c r="I78" s="52">
        <f>+SUM(I79:I81)</f>
        <v>58792320</v>
      </c>
      <c r="J78" s="53">
        <f>I78/$J$6</f>
        <v>948263.22580645164</v>
      </c>
      <c r="K78" s="55">
        <f>I78/$I$87</f>
        <v>4.4380850447790811E-2</v>
      </c>
      <c r="L78" s="55">
        <f>+I78/$I$21</f>
        <v>3.5400000000000001E-2</v>
      </c>
      <c r="M78" s="49"/>
      <c r="N78" s="49"/>
      <c r="O78" s="49"/>
      <c r="P78" s="49"/>
      <c r="Q78" s="56"/>
      <c r="R78" s="56"/>
      <c r="S78" s="56"/>
      <c r="T78" s="49"/>
      <c r="U78" s="62"/>
      <c r="V78" s="49"/>
      <c r="W78" s="49"/>
      <c r="X78" s="49"/>
      <c r="Y78" s="49"/>
      <c r="Z78" s="49"/>
      <c r="AA78" s="56"/>
      <c r="AB78" s="56"/>
      <c r="AC78" s="49"/>
      <c r="AD78" s="62"/>
      <c r="AE78" s="49"/>
      <c r="AF78" s="49"/>
      <c r="AG78" s="49"/>
      <c r="AH78" s="49"/>
      <c r="AI78" s="49"/>
      <c r="AJ78" s="56"/>
      <c r="AK78" s="56"/>
      <c r="AL78" s="49"/>
      <c r="AM78" s="62"/>
      <c r="AN78" s="49"/>
    </row>
    <row r="79" spans="1:40" ht="15.75" customHeight="1" outlineLevel="1" x14ac:dyDescent="0.3">
      <c r="A79" s="3"/>
      <c r="B79" s="3" t="s">
        <v>49</v>
      </c>
      <c r="C79" s="86">
        <v>0.03</v>
      </c>
      <c r="D79" s="79"/>
      <c r="E79" s="79"/>
      <c r="F79" s="3"/>
      <c r="G79" s="3"/>
      <c r="H79" s="3"/>
      <c r="I79" s="138">
        <f>+C79*I21</f>
        <v>49824000</v>
      </c>
      <c r="J79" s="61"/>
      <c r="K79" s="7"/>
      <c r="L79" s="8"/>
      <c r="M79" s="3"/>
      <c r="N79" s="3"/>
      <c r="O79" s="3"/>
      <c r="P79" s="3"/>
      <c r="Q79" s="6"/>
      <c r="R79" s="6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1:40" ht="15.75" customHeight="1" outlineLevel="1" x14ac:dyDescent="0.3">
      <c r="A80" s="3"/>
      <c r="B80" s="3" t="s">
        <v>41</v>
      </c>
      <c r="C80" s="86">
        <v>0.18</v>
      </c>
      <c r="D80" s="79"/>
      <c r="E80" s="79"/>
      <c r="F80" s="3"/>
      <c r="G80" s="3"/>
      <c r="H80" s="3"/>
      <c r="I80" s="138">
        <f>+I79*18%</f>
        <v>8968320</v>
      </c>
      <c r="J80" s="61"/>
      <c r="K80" s="58"/>
      <c r="L80" s="57"/>
      <c r="M80" s="3"/>
      <c r="N80" s="3"/>
      <c r="O80" s="3"/>
      <c r="P80" s="3"/>
      <c r="Q80" s="6"/>
      <c r="R80" s="6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spans="1:41" ht="15.75" customHeight="1" x14ac:dyDescent="0.3">
      <c r="A81" s="3"/>
      <c r="B81" s="79"/>
      <c r="C81" s="78"/>
      <c r="D81" s="79"/>
      <c r="E81" s="79"/>
      <c r="F81" s="79"/>
      <c r="G81" s="79"/>
      <c r="H81" s="79"/>
      <c r="I81" s="141"/>
      <c r="J81" s="80"/>
      <c r="K81" s="58"/>
      <c r="L81" s="57"/>
      <c r="M81" s="3"/>
      <c r="N81" s="3"/>
      <c r="O81" s="3"/>
      <c r="P81" s="3"/>
      <c r="Q81" s="6"/>
      <c r="R81" s="6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spans="1:41" ht="15.75" customHeight="1" x14ac:dyDescent="0.3">
      <c r="A82" s="3"/>
      <c r="B82" s="51" t="s">
        <v>50</v>
      </c>
      <c r="C82" s="50"/>
      <c r="D82" s="51"/>
      <c r="E82" s="51"/>
      <c r="F82" s="51"/>
      <c r="G82" s="51"/>
      <c r="H82" s="51"/>
      <c r="I82" s="144">
        <f>SUM(I83:I86)</f>
        <v>101987200</v>
      </c>
      <c r="J82" s="53">
        <f>I82/$J$6</f>
        <v>1644954.8387096773</v>
      </c>
      <c r="K82" s="55">
        <f>I82/$I$87</f>
        <v>7.6987583935944889E-2</v>
      </c>
      <c r="L82" s="55">
        <f>+I82/$I$21</f>
        <v>6.1408477842003852E-2</v>
      </c>
      <c r="M82" s="3"/>
      <c r="N82" s="3"/>
      <c r="O82" s="3"/>
      <c r="P82" s="3"/>
      <c r="Q82" s="6"/>
      <c r="R82" s="6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1:41" ht="15.75" customHeight="1" outlineLevel="1" x14ac:dyDescent="0.3">
      <c r="A83" s="3"/>
      <c r="B83" s="3" t="s">
        <v>51</v>
      </c>
      <c r="C83" s="62"/>
      <c r="D83" s="49"/>
      <c r="E83" s="49"/>
      <c r="F83" s="49"/>
      <c r="G83" s="49"/>
      <c r="H83" s="49"/>
      <c r="I83" s="119">
        <v>4000000</v>
      </c>
      <c r="J83" s="145"/>
      <c r="K83" s="63"/>
      <c r="L83" s="63"/>
      <c r="M83" s="3"/>
      <c r="N83" s="3"/>
      <c r="O83" s="3"/>
      <c r="P83" s="3"/>
      <c r="Q83" s="6"/>
      <c r="R83" s="6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ht="15.75" customHeight="1" outlineLevel="1" x14ac:dyDescent="0.3">
      <c r="A84" s="3"/>
      <c r="B84" s="3" t="s">
        <v>50</v>
      </c>
      <c r="C84" s="86">
        <v>0.05</v>
      </c>
      <c r="G84" s="3"/>
      <c r="H84" s="3"/>
      <c r="I84" s="138">
        <f>+C84*I21</f>
        <v>83040000</v>
      </c>
      <c r="J84" s="61"/>
      <c r="K84" s="58"/>
      <c r="L84" s="57"/>
      <c r="M84" s="3"/>
      <c r="N84" s="3"/>
      <c r="O84" s="3"/>
      <c r="P84" s="3"/>
      <c r="Q84" s="6"/>
      <c r="R84" s="6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spans="1:41" ht="15.75" customHeight="1" outlineLevel="1" x14ac:dyDescent="0.3">
      <c r="A85" s="3"/>
      <c r="B85" s="74" t="s">
        <v>41</v>
      </c>
      <c r="C85" s="86">
        <v>0.18</v>
      </c>
      <c r="I85" s="138">
        <f>+SUM(I84)*C85</f>
        <v>14947200</v>
      </c>
      <c r="J85" s="61"/>
      <c r="K85" s="58"/>
      <c r="L85" s="57"/>
      <c r="M85" s="3"/>
      <c r="N85" s="3"/>
      <c r="O85" s="3"/>
      <c r="P85" s="3"/>
      <c r="Q85" s="6"/>
      <c r="R85" s="6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spans="1:41" ht="15.75" customHeight="1" x14ac:dyDescent="0.3">
      <c r="A86" s="3"/>
      <c r="C86" s="10"/>
      <c r="I86" s="138"/>
      <c r="J86" s="61"/>
      <c r="K86" s="58"/>
      <c r="L86" s="57"/>
      <c r="M86" s="3"/>
      <c r="N86" s="3"/>
      <c r="O86" s="3"/>
      <c r="P86" s="3"/>
      <c r="Q86" s="6"/>
      <c r="R86" s="6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pans="1:41" ht="15.75" customHeight="1" x14ac:dyDescent="0.3">
      <c r="A87" s="3"/>
      <c r="B87" s="89" t="s">
        <v>52</v>
      </c>
      <c r="C87" s="90"/>
      <c r="D87" s="90"/>
      <c r="E87" s="90"/>
      <c r="F87" s="90"/>
      <c r="G87" s="90"/>
      <c r="H87" s="90"/>
      <c r="I87" s="146">
        <f>I26+I31+I51+I65+I78+I82+I74</f>
        <v>1324722699.2453129</v>
      </c>
      <c r="J87" s="147">
        <f>I87/$J$6</f>
        <v>21366495.14911795</v>
      </c>
      <c r="K87" s="58"/>
      <c r="L87" s="57"/>
      <c r="M87" s="6"/>
      <c r="N87" s="6"/>
      <c r="O87" s="3"/>
      <c r="P87" s="3"/>
      <c r="Q87" s="6"/>
      <c r="R87" s="6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pans="1:41" ht="15.75" customHeight="1" x14ac:dyDescent="0.3">
      <c r="A88" s="3"/>
      <c r="I88" s="138"/>
      <c r="J88" s="61"/>
      <c r="K88" s="148"/>
      <c r="L88" s="2"/>
      <c r="M88" s="3"/>
      <c r="N88" s="3"/>
      <c r="O88" s="3"/>
      <c r="P88" s="3"/>
      <c r="Q88" s="6"/>
      <c r="R88" s="6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pans="1:41" ht="15.75" customHeight="1" thickBot="1" x14ac:dyDescent="0.35">
      <c r="A89" s="3"/>
      <c r="B89" s="93" t="s">
        <v>53</v>
      </c>
      <c r="C89" s="90"/>
      <c r="D89" s="90"/>
      <c r="E89" s="90"/>
      <c r="F89" s="90"/>
      <c r="G89" s="90"/>
      <c r="H89" s="90"/>
      <c r="I89" s="149">
        <f>I21-I87</f>
        <v>336077300.75468707</v>
      </c>
      <c r="J89" s="96">
        <f t="shared" ref="J89:J90" si="12">I89/$J$6</f>
        <v>5420601.6250755982</v>
      </c>
      <c r="K89" s="7"/>
      <c r="L89" s="6"/>
      <c r="M89" s="3"/>
      <c r="N89" s="3"/>
      <c r="O89" s="3"/>
      <c r="P89" s="3"/>
      <c r="Q89" s="6"/>
      <c r="R89" s="6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1:41" ht="15.75" customHeight="1" thickBot="1" x14ac:dyDescent="0.35">
      <c r="A90" s="3"/>
      <c r="B90" s="93" t="s">
        <v>54</v>
      </c>
      <c r="C90" s="90"/>
      <c r="D90" s="90"/>
      <c r="E90" s="90"/>
      <c r="F90" s="90"/>
      <c r="G90" s="90"/>
      <c r="H90" s="90"/>
      <c r="I90" s="149">
        <f>+I89*0.9</f>
        <v>302469570.67921835</v>
      </c>
      <c r="J90" s="96">
        <f t="shared" si="12"/>
        <v>4878541.4625680381</v>
      </c>
      <c r="K90" s="7"/>
      <c r="L90" s="6"/>
      <c r="M90" s="3"/>
      <c r="N90" s="3"/>
      <c r="O90" s="3"/>
      <c r="P90" s="3"/>
      <c r="Q90" s="6"/>
      <c r="R90" s="6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1:41" ht="15.75" customHeight="1" x14ac:dyDescent="0.3">
      <c r="A91" s="3"/>
      <c r="H91" s="73"/>
      <c r="I91" s="150">
        <f>I89/I21</f>
        <v>0.20235868301703219</v>
      </c>
      <c r="J91" s="98" t="s">
        <v>55</v>
      </c>
      <c r="K91" s="7"/>
      <c r="L91" s="8"/>
      <c r="M91" s="3"/>
      <c r="N91" s="3"/>
      <c r="O91" s="3"/>
      <c r="P91" s="3"/>
      <c r="Q91" s="6"/>
      <c r="R91" s="6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1:41" ht="15.75" customHeight="1" x14ac:dyDescent="0.3">
      <c r="A92" s="3"/>
      <c r="H92" s="73"/>
      <c r="I92" s="150">
        <f>+I89/I87</f>
        <v>0.25369634033307381</v>
      </c>
      <c r="J92" s="98" t="s">
        <v>56</v>
      </c>
      <c r="K92" s="151"/>
      <c r="L92" s="2"/>
      <c r="M92" s="3"/>
      <c r="N92" s="3"/>
      <c r="O92" s="3"/>
      <c r="P92" s="3"/>
      <c r="Q92" s="6"/>
      <c r="R92" s="6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1:41" ht="15.75" customHeight="1" x14ac:dyDescent="0.3">
      <c r="A93" s="3"/>
      <c r="C93" s="3"/>
      <c r="I93" s="6"/>
      <c r="J93" s="6"/>
      <c r="K93" s="7"/>
      <c r="L93" s="6"/>
      <c r="M93" s="3"/>
      <c r="N93" s="3"/>
      <c r="O93" s="3"/>
      <c r="P93" s="3"/>
      <c r="Q93" s="6"/>
      <c r="R93" s="6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1:41" ht="15.75" hidden="1" customHeight="1" x14ac:dyDescent="0.3">
      <c r="A94" s="3"/>
      <c r="E94" s="3"/>
      <c r="F94" s="3"/>
      <c r="G94" s="3"/>
      <c r="I94" s="6"/>
      <c r="J94" s="7"/>
      <c r="K94" s="7"/>
      <c r="L94" s="15"/>
      <c r="M94" s="3"/>
      <c r="N94" s="3"/>
      <c r="O94" s="3"/>
      <c r="P94" s="3"/>
      <c r="Q94" s="6"/>
      <c r="R94" s="6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1:41" ht="15.75" hidden="1" customHeight="1" x14ac:dyDescent="0.3">
      <c r="A95" s="3"/>
      <c r="B95" s="152">
        <v>0.85</v>
      </c>
      <c r="C95" s="152" t="s">
        <v>69</v>
      </c>
      <c r="D95" s="153">
        <f>$I$90*B95</f>
        <v>257099135.0773356</v>
      </c>
      <c r="E95" s="143" t="s">
        <v>70</v>
      </c>
      <c r="F95" s="143" t="s">
        <v>71</v>
      </c>
      <c r="G95" s="6" t="s">
        <v>72</v>
      </c>
      <c r="H95" s="3"/>
      <c r="I95" s="6"/>
      <c r="J95" s="3"/>
      <c r="K95" s="7"/>
      <c r="L95" s="15"/>
      <c r="M95" s="3"/>
      <c r="N95" s="3"/>
      <c r="O95" s="3"/>
      <c r="P95" s="3"/>
      <c r="Q95" s="6"/>
      <c r="R95" s="6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1:41" ht="15.75" hidden="1" customHeight="1" x14ac:dyDescent="0.3">
      <c r="A96" s="3"/>
      <c r="B96" s="152">
        <f>100%-B95-B97</f>
        <v>0.15000000000000002</v>
      </c>
      <c r="C96" s="154" t="s">
        <v>24</v>
      </c>
      <c r="D96" s="153">
        <f>$I$90*B96</f>
        <v>45370435.601882763</v>
      </c>
      <c r="E96" s="143">
        <v>1000000</v>
      </c>
      <c r="F96" s="143">
        <f>+D96+E96</f>
        <v>46370435.601882763</v>
      </c>
      <c r="G96" s="6">
        <f>+F96/2</f>
        <v>23185217.800941382</v>
      </c>
      <c r="H96" s="3"/>
      <c r="I96" s="6"/>
      <c r="J96" s="3"/>
      <c r="K96" s="7"/>
      <c r="L96" s="15"/>
      <c r="M96" s="3"/>
      <c r="N96" s="3"/>
      <c r="O96" s="3"/>
      <c r="P96" s="3"/>
      <c r="Q96" s="6"/>
      <c r="R96" s="6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1:41" ht="15.75" hidden="1" customHeight="1" x14ac:dyDescent="0.3">
      <c r="A97" s="3"/>
      <c r="B97" s="152">
        <v>0</v>
      </c>
      <c r="C97" s="154" t="s">
        <v>73</v>
      </c>
      <c r="D97" s="153">
        <f>$I$90*B97</f>
        <v>0</v>
      </c>
      <c r="E97" s="143"/>
      <c r="F97" s="143"/>
      <c r="G97" s="6"/>
      <c r="H97" s="3"/>
      <c r="I97" s="6"/>
      <c r="J97" s="3"/>
      <c r="K97" s="7"/>
      <c r="L97" s="15"/>
      <c r="M97" s="3"/>
      <c r="N97" s="3"/>
      <c r="O97" s="3"/>
      <c r="P97" s="3"/>
      <c r="Q97" s="6"/>
      <c r="R97" s="6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1:41" ht="15.75" hidden="1" customHeight="1" x14ac:dyDescent="0.3">
      <c r="A98" s="3"/>
      <c r="B98" s="3"/>
      <c r="C98" s="3"/>
      <c r="D98" s="6"/>
      <c r="E98" s="143"/>
      <c r="F98" s="143"/>
      <c r="G98" s="6"/>
      <c r="H98" s="155"/>
      <c r="I98" s="156"/>
      <c r="J98" s="8"/>
      <c r="K98" s="7"/>
      <c r="L98" s="15"/>
      <c r="M98" s="3"/>
      <c r="N98" s="3"/>
      <c r="O98" s="3"/>
      <c r="P98" s="106"/>
      <c r="Q98" s="157"/>
      <c r="R98" s="157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</row>
    <row r="99" spans="1:41" ht="15.75" customHeight="1" x14ac:dyDescent="0.3">
      <c r="A99" s="3"/>
      <c r="B99" s="10"/>
      <c r="C99" s="10"/>
      <c r="D99" s="10"/>
      <c r="E99" s="158"/>
      <c r="F99" s="158"/>
      <c r="H99" s="69"/>
      <c r="I99" s="68"/>
      <c r="J99" s="6"/>
      <c r="K99" s="7"/>
      <c r="L99" s="7"/>
      <c r="M99" s="3"/>
      <c r="N99" s="3"/>
      <c r="O99" s="3"/>
      <c r="P99" s="3"/>
      <c r="Q99" s="6"/>
      <c r="R99" s="6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pans="1:41" ht="15.75" customHeight="1" x14ac:dyDescent="0.3">
      <c r="A100" s="3"/>
      <c r="B100" s="3"/>
      <c r="C100" s="3"/>
      <c r="D100" s="3"/>
      <c r="E100" s="158"/>
      <c r="F100" s="158"/>
      <c r="G100" s="69"/>
      <c r="H100" s="7"/>
      <c r="I100" s="68"/>
      <c r="J100" s="159"/>
      <c r="K100" s="7"/>
      <c r="L100" s="7"/>
      <c r="M100" s="3"/>
      <c r="N100" s="3"/>
      <c r="O100" s="3"/>
      <c r="P100" s="3"/>
      <c r="Q100" s="6"/>
      <c r="R100" s="6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1:41" ht="15.75" customHeight="1" x14ac:dyDescent="0.3">
      <c r="A101" s="3"/>
      <c r="B101" s="3"/>
      <c r="C101" s="3"/>
      <c r="D101" s="3"/>
      <c r="E101" s="15"/>
      <c r="F101" s="158"/>
      <c r="G101" s="60"/>
      <c r="H101" s="7"/>
      <c r="I101" s="160"/>
      <c r="J101" s="6"/>
      <c r="K101" s="7"/>
      <c r="L101" s="7"/>
      <c r="M101" s="3"/>
      <c r="N101" s="3"/>
      <c r="O101" s="3"/>
      <c r="P101" s="3"/>
      <c r="Q101" s="6"/>
      <c r="R101" s="6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pans="1:41" ht="15.75" customHeight="1" x14ac:dyDescent="0.3">
      <c r="A102" s="3"/>
      <c r="B102" s="3"/>
      <c r="C102" s="3"/>
      <c r="D102" s="3"/>
      <c r="E102" s="3"/>
      <c r="F102" s="15"/>
      <c r="G102" s="60"/>
      <c r="H102" s="15"/>
      <c r="I102" s="143"/>
      <c r="J102" s="6"/>
      <c r="K102" s="7"/>
      <c r="L102" s="8"/>
      <c r="M102" s="3"/>
      <c r="N102" s="3"/>
      <c r="O102" s="3"/>
      <c r="P102" s="3"/>
      <c r="Q102" s="6"/>
      <c r="R102" s="6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pans="1:41" ht="15.75" customHeight="1" x14ac:dyDescent="0.3">
      <c r="A103" s="3"/>
      <c r="E103" s="3"/>
      <c r="F103" s="15"/>
      <c r="G103" s="60"/>
      <c r="H103" s="10"/>
      <c r="I103" s="3"/>
      <c r="J103" s="6"/>
      <c r="K103" s="7"/>
      <c r="L103" s="8"/>
      <c r="M103" s="3"/>
      <c r="N103" s="3"/>
      <c r="O103" s="3"/>
      <c r="P103" s="3"/>
      <c r="Q103" s="6"/>
      <c r="R103" s="6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spans="1:41" ht="15.75" customHeight="1" x14ac:dyDescent="0.3">
      <c r="A104" s="3"/>
      <c r="E104" s="3"/>
      <c r="F104" s="15"/>
      <c r="G104" s="60"/>
      <c r="H104" s="10"/>
      <c r="I104" s="3"/>
      <c r="J104" s="6"/>
      <c r="K104" s="7"/>
      <c r="L104" s="8"/>
      <c r="M104" s="3"/>
      <c r="N104" s="3"/>
      <c r="O104" s="3"/>
      <c r="P104" s="3"/>
      <c r="Q104" s="6"/>
      <c r="R104" s="6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pans="1:41" ht="15.75" customHeight="1" x14ac:dyDescent="0.3">
      <c r="A105" s="3"/>
      <c r="E105" s="15"/>
      <c r="F105" s="15"/>
      <c r="G105" s="60"/>
      <c r="H105" s="10"/>
      <c r="I105" s="161"/>
      <c r="J105" s="6"/>
      <c r="K105" s="7"/>
      <c r="L105" s="8"/>
      <c r="M105" s="3"/>
      <c r="N105" s="3"/>
      <c r="O105" s="3"/>
      <c r="P105" s="3"/>
      <c r="Q105" s="6"/>
      <c r="R105" s="6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spans="1:41" ht="15.75" customHeight="1" x14ac:dyDescent="0.3">
      <c r="A106" s="3"/>
      <c r="E106" s="10"/>
      <c r="F106" s="15"/>
      <c r="G106" s="10"/>
      <c r="H106" s="10"/>
      <c r="J106" s="6"/>
      <c r="K106" s="7"/>
      <c r="L106" s="8"/>
      <c r="M106" s="3"/>
      <c r="N106" s="3"/>
      <c r="O106" s="3"/>
      <c r="P106" s="3"/>
      <c r="Q106" s="6"/>
      <c r="R106" s="6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1:41" ht="15.75" customHeight="1" x14ac:dyDescent="0.3">
      <c r="A107" s="3"/>
      <c r="F107" s="6"/>
      <c r="J107" s="6"/>
      <c r="K107" s="7"/>
      <c r="L107" s="8"/>
      <c r="M107" s="3"/>
      <c r="N107" s="3"/>
      <c r="O107" s="3"/>
      <c r="P107" s="3"/>
      <c r="Q107" s="6"/>
      <c r="R107" s="6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1:41" ht="15.75" customHeight="1" x14ac:dyDescent="0.3">
      <c r="A108" s="3"/>
      <c r="F108" s="6"/>
      <c r="J108" s="6"/>
      <c r="K108" s="7"/>
      <c r="L108" s="8"/>
      <c r="M108" s="3"/>
      <c r="N108" s="3"/>
      <c r="O108" s="3"/>
      <c r="P108" s="3"/>
      <c r="Q108" s="6"/>
      <c r="R108" s="6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1:41" ht="15.75" customHeight="1" x14ac:dyDescent="0.3">
      <c r="A109" s="3"/>
      <c r="F109" s="6"/>
      <c r="J109" s="6"/>
      <c r="K109" s="7"/>
      <c r="L109" s="8"/>
      <c r="M109" s="3"/>
      <c r="N109" s="3"/>
      <c r="O109" s="3"/>
      <c r="P109" s="3"/>
      <c r="Q109" s="6"/>
      <c r="R109" s="6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1:41" ht="15.75" customHeight="1" x14ac:dyDescent="0.3">
      <c r="A110" s="3"/>
      <c r="F110" s="6"/>
      <c r="J110" s="6"/>
      <c r="K110" s="7"/>
      <c r="L110" s="8"/>
      <c r="M110" s="3"/>
      <c r="N110" s="3"/>
      <c r="O110" s="3"/>
      <c r="P110" s="3"/>
      <c r="Q110" s="6"/>
      <c r="R110" s="6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1:41" ht="15.75" customHeight="1" x14ac:dyDescent="0.3">
      <c r="A111" s="3"/>
      <c r="J111" s="6"/>
      <c r="K111" s="7"/>
      <c r="L111" s="8"/>
      <c r="M111" s="3"/>
      <c r="N111" s="3"/>
      <c r="O111" s="3"/>
      <c r="P111" s="3"/>
      <c r="Q111" s="6"/>
      <c r="R111" s="6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1:41" ht="15.75" customHeight="1" x14ac:dyDescent="0.3">
      <c r="A112" s="3"/>
      <c r="J112" s="6"/>
      <c r="K112" s="7"/>
      <c r="L112" s="8"/>
      <c r="M112" s="3"/>
      <c r="N112" s="3"/>
      <c r="O112" s="3"/>
      <c r="P112" s="3"/>
      <c r="Q112" s="6"/>
      <c r="R112" s="6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1:40" ht="15.75" customHeight="1" x14ac:dyDescent="0.3">
      <c r="A113" s="3"/>
      <c r="J113" s="6"/>
      <c r="K113" s="7"/>
      <c r="L113" s="8"/>
      <c r="M113" s="3"/>
      <c r="N113" s="3"/>
      <c r="O113" s="3"/>
      <c r="P113" s="3"/>
      <c r="Q113" s="6"/>
      <c r="R113" s="6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1:40" ht="15.75" customHeight="1" x14ac:dyDescent="0.3">
      <c r="A114" s="3"/>
      <c r="J114" s="6"/>
      <c r="K114" s="7"/>
      <c r="L114" s="8"/>
      <c r="M114" s="3"/>
      <c r="N114" s="3"/>
      <c r="O114" s="3"/>
      <c r="P114" s="3"/>
      <c r="Q114" s="6"/>
      <c r="R114" s="6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1:40" ht="15.75" customHeight="1" x14ac:dyDescent="0.3">
      <c r="A115" s="3"/>
      <c r="B115" s="184"/>
      <c r="C115" s="184"/>
      <c r="D115" s="184"/>
      <c r="E115" s="184"/>
      <c r="F115" s="184"/>
      <c r="G115" s="184"/>
      <c r="H115" s="184"/>
      <c r="J115" s="6"/>
      <c r="K115" s="7"/>
      <c r="L115" s="8"/>
      <c r="M115" s="3"/>
      <c r="N115" s="3"/>
      <c r="O115" s="3"/>
      <c r="P115" s="3"/>
      <c r="Q115" s="6"/>
      <c r="R115" s="6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1:40" ht="15.75" customHeight="1" x14ac:dyDescent="0.3">
      <c r="A116" s="3"/>
      <c r="B116" s="184"/>
      <c r="C116" s="184"/>
      <c r="D116" s="184"/>
      <c r="E116" s="184"/>
      <c r="F116" s="184"/>
      <c r="G116" s="184"/>
      <c r="H116" s="184"/>
      <c r="J116" s="6"/>
      <c r="K116" s="7"/>
      <c r="L116" s="8"/>
      <c r="M116" s="3"/>
      <c r="N116" s="3"/>
      <c r="O116" s="3"/>
      <c r="P116" s="3"/>
      <c r="Q116" s="6"/>
      <c r="R116" s="6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1:40" ht="15.75" customHeight="1" x14ac:dyDescent="0.3">
      <c r="A117" s="3"/>
      <c r="B117" s="184"/>
      <c r="C117" s="184"/>
      <c r="D117" s="184"/>
      <c r="E117" s="184"/>
      <c r="F117" s="184"/>
      <c r="G117" s="184"/>
      <c r="H117" s="184"/>
      <c r="J117" s="6"/>
      <c r="K117" s="7"/>
      <c r="L117" s="8"/>
      <c r="M117" s="3"/>
      <c r="N117" s="3"/>
      <c r="O117" s="3"/>
      <c r="P117" s="3"/>
      <c r="Q117" s="6"/>
      <c r="R117" s="6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1:40" ht="15.75" customHeight="1" x14ac:dyDescent="0.3">
      <c r="A118" s="3"/>
      <c r="B118" s="184"/>
      <c r="C118" s="184"/>
      <c r="D118" s="184"/>
      <c r="E118" s="184"/>
      <c r="F118" s="184"/>
      <c r="G118" s="184"/>
      <c r="H118" s="184"/>
      <c r="J118" s="6"/>
      <c r="K118" s="7"/>
      <c r="L118" s="8"/>
      <c r="M118" s="3"/>
      <c r="N118" s="3"/>
      <c r="O118" s="3"/>
      <c r="P118" s="3"/>
      <c r="Q118" s="6"/>
      <c r="R118" s="6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1:40" ht="15.75" customHeight="1" x14ac:dyDescent="0.3">
      <c r="A119" s="3"/>
      <c r="B119" s="165"/>
      <c r="C119" s="164"/>
      <c r="D119" s="164"/>
      <c r="E119" s="184"/>
      <c r="F119" s="184"/>
      <c r="G119" s="184"/>
      <c r="H119" s="184"/>
      <c r="J119" s="6"/>
      <c r="K119" s="7"/>
      <c r="L119" s="8"/>
      <c r="M119" s="3"/>
      <c r="N119" s="3"/>
      <c r="O119" s="3"/>
      <c r="P119" s="3"/>
      <c r="Q119" s="6"/>
      <c r="R119" s="6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1:40" ht="15.75" customHeight="1" x14ac:dyDescent="0.3">
      <c r="A120" s="3"/>
      <c r="B120" s="165"/>
      <c r="C120" s="164"/>
      <c r="D120" s="164"/>
      <c r="E120" s="184"/>
      <c r="F120" s="184"/>
      <c r="G120" s="184"/>
      <c r="H120" s="184"/>
      <c r="J120" s="6"/>
      <c r="K120" s="7"/>
      <c r="L120" s="8"/>
      <c r="M120" s="3"/>
      <c r="N120" s="3"/>
      <c r="O120" s="3"/>
      <c r="P120" s="3"/>
      <c r="Q120" s="6"/>
      <c r="R120" s="6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1:40" ht="15.75" customHeight="1" x14ac:dyDescent="0.3">
      <c r="A121" s="3"/>
      <c r="B121" s="166"/>
      <c r="C121" s="175"/>
      <c r="D121" s="164"/>
      <c r="E121" s="184"/>
      <c r="F121" s="184"/>
      <c r="G121" s="184"/>
      <c r="H121" s="184"/>
      <c r="J121" s="6"/>
      <c r="K121" s="7"/>
      <c r="L121" s="8"/>
      <c r="M121" s="3"/>
      <c r="N121" s="3"/>
      <c r="O121" s="3"/>
      <c r="P121" s="3"/>
      <c r="Q121" s="6"/>
      <c r="R121" s="6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1:40" ht="15.75" customHeight="1" x14ac:dyDescent="0.3">
      <c r="A122" s="3"/>
      <c r="B122" s="165"/>
      <c r="C122" s="164"/>
      <c r="D122" s="164"/>
      <c r="E122" s="184"/>
      <c r="F122" s="184"/>
      <c r="G122" s="184"/>
      <c r="H122" s="184"/>
      <c r="J122" s="6"/>
      <c r="K122" s="7"/>
      <c r="L122" s="8"/>
      <c r="M122" s="3"/>
      <c r="N122" s="3"/>
      <c r="O122" s="3"/>
      <c r="P122" s="3"/>
      <c r="Q122" s="6"/>
      <c r="R122" s="6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1:40" ht="15.75" customHeight="1" x14ac:dyDescent="0.3">
      <c r="A123" s="3"/>
      <c r="B123" s="165"/>
      <c r="C123" s="164"/>
      <c r="D123" s="164"/>
      <c r="E123" s="184"/>
      <c r="F123" s="184"/>
      <c r="G123" s="184"/>
      <c r="H123" s="184"/>
      <c r="J123" s="6"/>
      <c r="K123" s="7"/>
      <c r="L123" s="8"/>
      <c r="M123" s="3"/>
      <c r="N123" s="3"/>
      <c r="O123" s="3"/>
      <c r="P123" s="3"/>
      <c r="Q123" s="6"/>
      <c r="R123" s="6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1:40" ht="15.75" customHeight="1" x14ac:dyDescent="0.3">
      <c r="A124" s="3"/>
      <c r="B124" s="165"/>
      <c r="C124" s="164"/>
      <c r="D124" s="164"/>
      <c r="E124" s="184"/>
      <c r="F124" s="184"/>
      <c r="G124" s="184"/>
      <c r="H124" s="184"/>
      <c r="J124" s="6"/>
      <c r="K124" s="7"/>
      <c r="L124" s="8"/>
      <c r="M124" s="3"/>
      <c r="N124" s="3"/>
      <c r="O124" s="3"/>
      <c r="P124" s="3"/>
      <c r="Q124" s="6"/>
      <c r="R124" s="6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1:40" ht="15.75" customHeight="1" x14ac:dyDescent="0.3">
      <c r="A125" s="3"/>
      <c r="B125" s="165"/>
      <c r="C125" s="164"/>
      <c r="D125" s="164"/>
      <c r="E125" s="184"/>
      <c r="F125" s="184"/>
      <c r="G125" s="184"/>
      <c r="H125" s="184"/>
      <c r="J125" s="6"/>
      <c r="K125" s="7"/>
      <c r="L125" s="8"/>
      <c r="M125" s="3"/>
      <c r="N125" s="3"/>
      <c r="O125" s="3"/>
      <c r="P125" s="3"/>
      <c r="Q125" s="6"/>
      <c r="R125" s="6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1:40" ht="15.75" customHeight="1" x14ac:dyDescent="0.3">
      <c r="A126" s="3"/>
      <c r="B126" s="184"/>
      <c r="C126" s="163"/>
      <c r="D126" s="164"/>
      <c r="E126" s="184"/>
      <c r="F126" s="184"/>
      <c r="G126" s="184"/>
      <c r="H126" s="184"/>
      <c r="J126" s="6"/>
      <c r="K126" s="7"/>
      <c r="L126" s="8"/>
      <c r="M126" s="3"/>
      <c r="N126" s="3"/>
      <c r="O126" s="3"/>
      <c r="P126" s="3"/>
      <c r="Q126" s="6"/>
      <c r="R126" s="6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1:40" ht="15.75" customHeight="1" x14ac:dyDescent="0.3">
      <c r="A127" s="3"/>
      <c r="B127" s="184"/>
      <c r="C127" s="184"/>
      <c r="D127" s="184"/>
      <c r="E127" s="184"/>
      <c r="F127" s="184"/>
      <c r="G127" s="184"/>
      <c r="H127" s="184"/>
      <c r="J127" s="6"/>
      <c r="K127" s="7"/>
      <c r="L127" s="8"/>
      <c r="M127" s="3"/>
      <c r="N127" s="3"/>
      <c r="O127" s="3"/>
      <c r="P127" s="3"/>
      <c r="Q127" s="6"/>
      <c r="R127" s="6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pans="1:40" ht="15.75" customHeight="1" x14ac:dyDescent="0.3">
      <c r="A128" s="3"/>
      <c r="B128" s="184"/>
      <c r="C128" s="184"/>
      <c r="D128" s="184"/>
      <c r="E128" s="184"/>
      <c r="F128" s="184"/>
      <c r="G128" s="184"/>
      <c r="H128" s="184"/>
      <c r="J128" s="6"/>
      <c r="K128" s="7"/>
      <c r="L128" s="8"/>
      <c r="M128" s="3"/>
      <c r="N128" s="3"/>
      <c r="O128" s="3"/>
      <c r="P128" s="3"/>
      <c r="Q128" s="6"/>
      <c r="R128" s="6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1:40" ht="15.75" customHeight="1" x14ac:dyDescent="0.3">
      <c r="A129" s="3"/>
      <c r="J129" s="6"/>
      <c r="K129" s="7"/>
      <c r="L129" s="8"/>
      <c r="M129" s="3"/>
      <c r="N129" s="3"/>
      <c r="O129" s="3"/>
      <c r="P129" s="3"/>
      <c r="Q129" s="6"/>
      <c r="R129" s="6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1:40" ht="15.75" customHeight="1" x14ac:dyDescent="0.3">
      <c r="A130" s="3"/>
      <c r="J130" s="6"/>
      <c r="K130" s="7"/>
      <c r="L130" s="8"/>
      <c r="M130" s="3"/>
      <c r="N130" s="3"/>
      <c r="O130" s="3"/>
      <c r="P130" s="3"/>
      <c r="Q130" s="6"/>
      <c r="R130" s="6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pans="1:40" ht="15.75" customHeight="1" x14ac:dyDescent="0.3">
      <c r="A131" s="3"/>
      <c r="J131" s="6"/>
      <c r="K131" s="7"/>
      <c r="L131" s="8"/>
      <c r="M131" s="3"/>
      <c r="N131" s="3"/>
      <c r="O131" s="3"/>
      <c r="P131" s="3"/>
      <c r="Q131" s="6"/>
      <c r="R131" s="6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pans="1:40" ht="15.75" customHeight="1" x14ac:dyDescent="0.3">
      <c r="A132" s="3"/>
      <c r="J132" s="6"/>
      <c r="K132" s="7"/>
      <c r="L132" s="8"/>
      <c r="M132" s="3"/>
      <c r="N132" s="3"/>
      <c r="O132" s="3"/>
      <c r="P132" s="3"/>
      <c r="Q132" s="6"/>
      <c r="R132" s="6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pans="1:40" ht="15.75" customHeight="1" x14ac:dyDescent="0.3">
      <c r="A133" s="3"/>
      <c r="J133" s="6"/>
      <c r="K133" s="7"/>
      <c r="L133" s="8"/>
      <c r="M133" s="3"/>
      <c r="N133" s="3"/>
      <c r="O133" s="3"/>
      <c r="P133" s="3"/>
      <c r="Q133" s="6"/>
      <c r="R133" s="6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pans="1:40" ht="15.75" customHeight="1" x14ac:dyDescent="0.3">
      <c r="A134" s="3"/>
      <c r="J134" s="6"/>
      <c r="K134" s="7"/>
      <c r="L134" s="8"/>
      <c r="M134" s="3"/>
      <c r="N134" s="3"/>
      <c r="O134" s="3"/>
      <c r="P134" s="3"/>
      <c r="Q134" s="6"/>
      <c r="R134" s="6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pans="1:40" ht="15.75" customHeight="1" x14ac:dyDescent="0.3">
      <c r="A135" s="3"/>
      <c r="J135" s="6"/>
      <c r="K135" s="7"/>
      <c r="L135" s="8"/>
      <c r="M135" s="3"/>
      <c r="N135" s="3"/>
      <c r="O135" s="3"/>
      <c r="P135" s="3"/>
      <c r="Q135" s="6"/>
      <c r="R135" s="6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pans="1:40" ht="15.75" customHeight="1" x14ac:dyDescent="0.3">
      <c r="A136" s="3"/>
      <c r="J136" s="6"/>
      <c r="K136" s="7"/>
      <c r="L136" s="8"/>
      <c r="M136" s="3"/>
      <c r="N136" s="3"/>
      <c r="O136" s="3"/>
      <c r="P136" s="3"/>
      <c r="Q136" s="6"/>
      <c r="R136" s="6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pans="1:40" ht="15.75" customHeight="1" x14ac:dyDescent="0.3">
      <c r="A137" s="3"/>
      <c r="J137" s="6"/>
      <c r="K137" s="7"/>
      <c r="L137" s="8"/>
      <c r="M137" s="3"/>
      <c r="N137" s="3"/>
      <c r="O137" s="3"/>
      <c r="P137" s="3"/>
      <c r="Q137" s="6"/>
      <c r="R137" s="6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pans="1:40" ht="15.75" customHeight="1" x14ac:dyDescent="0.3">
      <c r="A138" s="3"/>
      <c r="J138" s="6"/>
      <c r="K138" s="7"/>
      <c r="L138" s="8"/>
      <c r="M138" s="3"/>
      <c r="N138" s="3"/>
      <c r="O138" s="3"/>
      <c r="P138" s="3"/>
      <c r="Q138" s="6"/>
      <c r="R138" s="6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pans="1:40" ht="15.75" customHeight="1" x14ac:dyDescent="0.3">
      <c r="A139" s="3"/>
      <c r="J139" s="6"/>
      <c r="K139" s="7"/>
      <c r="L139" s="8"/>
      <c r="M139" s="3"/>
      <c r="N139" s="3"/>
      <c r="O139" s="3"/>
      <c r="P139" s="3"/>
      <c r="Q139" s="6"/>
      <c r="R139" s="6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pans="1:40" ht="15.75" customHeight="1" x14ac:dyDescent="0.3">
      <c r="A140" s="3"/>
      <c r="J140" s="6"/>
      <c r="K140" s="7"/>
      <c r="L140" s="8"/>
      <c r="M140" s="3"/>
      <c r="N140" s="3"/>
      <c r="O140" s="3"/>
      <c r="P140" s="3"/>
      <c r="Q140" s="6"/>
      <c r="R140" s="6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pans="1:40" ht="15.75" customHeight="1" x14ac:dyDescent="0.3">
      <c r="A141" s="3"/>
      <c r="J141" s="6"/>
      <c r="K141" s="7"/>
      <c r="L141" s="8"/>
      <c r="M141" s="3"/>
      <c r="N141" s="3"/>
      <c r="O141" s="3"/>
      <c r="P141" s="3"/>
      <c r="Q141" s="6"/>
      <c r="R141" s="6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pans="1:40" ht="15.75" customHeight="1" x14ac:dyDescent="0.3">
      <c r="A142" s="3"/>
      <c r="J142" s="6"/>
      <c r="K142" s="7"/>
      <c r="L142" s="8"/>
      <c r="M142" s="3"/>
      <c r="N142" s="3"/>
      <c r="O142" s="3"/>
      <c r="P142" s="3"/>
      <c r="Q142" s="6"/>
      <c r="R142" s="6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pans="1:40" ht="15.75" customHeight="1" x14ac:dyDescent="0.3">
      <c r="A143" s="3"/>
      <c r="J143" s="6"/>
      <c r="K143" s="7"/>
      <c r="L143" s="8"/>
      <c r="M143" s="3"/>
      <c r="N143" s="3"/>
      <c r="O143" s="3"/>
      <c r="P143" s="3"/>
      <c r="Q143" s="6"/>
      <c r="R143" s="6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spans="1:40" ht="15.75" customHeight="1" x14ac:dyDescent="0.3">
      <c r="A144" s="3"/>
      <c r="J144" s="6"/>
      <c r="K144" s="7"/>
      <c r="L144" s="8"/>
      <c r="M144" s="3"/>
      <c r="N144" s="3"/>
      <c r="O144" s="3"/>
      <c r="P144" s="3"/>
      <c r="Q144" s="6"/>
      <c r="R144" s="6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spans="1:40" ht="15.75" customHeight="1" x14ac:dyDescent="0.3">
      <c r="A145" s="3"/>
      <c r="J145" s="6"/>
      <c r="K145" s="7"/>
      <c r="L145" s="8"/>
      <c r="M145" s="3"/>
      <c r="N145" s="3"/>
      <c r="O145" s="3"/>
      <c r="P145" s="3"/>
      <c r="Q145" s="6"/>
      <c r="R145" s="6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1:40" ht="15.75" customHeight="1" x14ac:dyDescent="0.3">
      <c r="A146" s="3"/>
      <c r="J146" s="6"/>
      <c r="K146" s="7"/>
      <c r="L146" s="8"/>
      <c r="M146" s="3"/>
      <c r="N146" s="3"/>
      <c r="O146" s="3"/>
      <c r="P146" s="3"/>
      <c r="Q146" s="6"/>
      <c r="R146" s="6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1:40" ht="15.75" customHeight="1" x14ac:dyDescent="0.3">
      <c r="A147" s="3"/>
      <c r="J147" s="6"/>
      <c r="K147" s="7"/>
      <c r="L147" s="8"/>
      <c r="M147" s="3"/>
      <c r="N147" s="3"/>
      <c r="O147" s="3"/>
      <c r="P147" s="3"/>
      <c r="Q147" s="6"/>
      <c r="R147" s="6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1:40" ht="15.75" customHeight="1" x14ac:dyDescent="0.3">
      <c r="A148" s="3"/>
      <c r="J148" s="6"/>
      <c r="K148" s="7"/>
      <c r="L148" s="8"/>
      <c r="M148" s="3"/>
      <c r="N148" s="3"/>
      <c r="O148" s="3"/>
      <c r="P148" s="3"/>
      <c r="Q148" s="6"/>
      <c r="R148" s="6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1:40" ht="15.75" customHeight="1" x14ac:dyDescent="0.3">
      <c r="A149" s="3"/>
      <c r="J149" s="6"/>
      <c r="K149" s="7"/>
      <c r="L149" s="8"/>
      <c r="M149" s="3"/>
      <c r="N149" s="3"/>
      <c r="O149" s="3"/>
      <c r="P149" s="3"/>
      <c r="Q149" s="6"/>
      <c r="R149" s="6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1:40" ht="15.75" customHeight="1" x14ac:dyDescent="0.3">
      <c r="A150" s="3"/>
      <c r="J150" s="6"/>
      <c r="K150" s="7"/>
      <c r="L150" s="8"/>
      <c r="M150" s="3"/>
      <c r="N150" s="3"/>
      <c r="O150" s="3"/>
      <c r="P150" s="3"/>
      <c r="Q150" s="6"/>
      <c r="R150" s="6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1:40" ht="15.75" customHeight="1" x14ac:dyDescent="0.3">
      <c r="A151" s="3"/>
      <c r="J151" s="6"/>
      <c r="K151" s="7"/>
      <c r="L151" s="8"/>
      <c r="M151" s="3"/>
      <c r="N151" s="3"/>
      <c r="O151" s="3"/>
      <c r="P151" s="3"/>
      <c r="Q151" s="6"/>
      <c r="R151" s="6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1:40" ht="15.75" customHeight="1" x14ac:dyDescent="0.3">
      <c r="A152" s="3"/>
      <c r="J152" s="6"/>
      <c r="K152" s="7"/>
      <c r="L152" s="8"/>
      <c r="M152" s="3"/>
      <c r="N152" s="3"/>
      <c r="O152" s="3"/>
      <c r="P152" s="3"/>
      <c r="Q152" s="6"/>
      <c r="R152" s="6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1:40" ht="15.75" customHeight="1" x14ac:dyDescent="0.3">
      <c r="A153" s="3"/>
      <c r="J153" s="6"/>
      <c r="K153" s="7"/>
      <c r="L153" s="8"/>
      <c r="M153" s="3"/>
      <c r="N153" s="3"/>
      <c r="O153" s="3"/>
      <c r="P153" s="3"/>
      <c r="Q153" s="6"/>
      <c r="R153" s="6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1:40" ht="15.75" customHeight="1" x14ac:dyDescent="0.3">
      <c r="A154" s="3"/>
      <c r="J154" s="6"/>
      <c r="K154" s="7"/>
      <c r="L154" s="8"/>
      <c r="M154" s="3"/>
      <c r="N154" s="3"/>
      <c r="O154" s="3"/>
      <c r="P154" s="3"/>
      <c r="Q154" s="6"/>
      <c r="R154" s="6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1:40" ht="15.75" customHeight="1" x14ac:dyDescent="0.3">
      <c r="A155" s="3"/>
      <c r="J155" s="6"/>
      <c r="K155" s="7"/>
      <c r="L155" s="8"/>
      <c r="M155" s="3"/>
      <c r="N155" s="3"/>
      <c r="O155" s="3"/>
      <c r="P155" s="3"/>
      <c r="Q155" s="6"/>
      <c r="R155" s="6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1:40" ht="15.75" customHeight="1" x14ac:dyDescent="0.3">
      <c r="A156" s="3"/>
      <c r="J156" s="6"/>
      <c r="K156" s="7"/>
      <c r="L156" s="8"/>
      <c r="M156" s="3"/>
      <c r="N156" s="3"/>
      <c r="O156" s="3"/>
      <c r="P156" s="3"/>
      <c r="Q156" s="6"/>
      <c r="R156" s="6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1:40" ht="15.75" customHeight="1" x14ac:dyDescent="0.3">
      <c r="A157" s="3"/>
      <c r="J157" s="6"/>
      <c r="K157" s="7"/>
      <c r="L157" s="8"/>
      <c r="M157" s="3"/>
      <c r="N157" s="3"/>
      <c r="O157" s="3"/>
      <c r="P157" s="3"/>
      <c r="Q157" s="6"/>
      <c r="R157" s="6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1:40" ht="15.75" customHeight="1" x14ac:dyDescent="0.3">
      <c r="A158" s="3"/>
      <c r="J158" s="6"/>
      <c r="K158" s="7"/>
      <c r="L158" s="8"/>
      <c r="M158" s="3"/>
      <c r="N158" s="3"/>
      <c r="O158" s="3"/>
      <c r="P158" s="3"/>
      <c r="Q158" s="6"/>
      <c r="R158" s="6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1:40" ht="15.75" customHeight="1" x14ac:dyDescent="0.3">
      <c r="A159" s="3"/>
      <c r="J159" s="6"/>
      <c r="K159" s="7"/>
      <c r="L159" s="8"/>
      <c r="M159" s="3"/>
      <c r="N159" s="3"/>
      <c r="O159" s="3"/>
      <c r="P159" s="3"/>
      <c r="Q159" s="6"/>
      <c r="R159" s="6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1:40" ht="15.75" customHeight="1" x14ac:dyDescent="0.3">
      <c r="A160" s="3"/>
      <c r="J160" s="6"/>
      <c r="K160" s="7"/>
      <c r="L160" s="8"/>
      <c r="M160" s="3"/>
      <c r="N160" s="3"/>
      <c r="O160" s="3"/>
      <c r="P160" s="3"/>
      <c r="Q160" s="6"/>
      <c r="R160" s="6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1:40" ht="15.75" customHeight="1" x14ac:dyDescent="0.3">
      <c r="A161" s="3"/>
      <c r="J161" s="6"/>
      <c r="K161" s="7"/>
      <c r="L161" s="8"/>
      <c r="M161" s="3"/>
      <c r="N161" s="3"/>
      <c r="O161" s="3"/>
      <c r="P161" s="3"/>
      <c r="Q161" s="6"/>
      <c r="R161" s="6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1:40" ht="15.75" customHeight="1" x14ac:dyDescent="0.3">
      <c r="A162" s="3"/>
      <c r="J162" s="6"/>
      <c r="K162" s="7"/>
      <c r="L162" s="8"/>
      <c r="M162" s="3"/>
      <c r="N162" s="3"/>
      <c r="O162" s="3"/>
      <c r="P162" s="3"/>
      <c r="Q162" s="6"/>
      <c r="R162" s="6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1:40" ht="15.75" customHeight="1" x14ac:dyDescent="0.3">
      <c r="A163" s="3"/>
      <c r="J163" s="6"/>
      <c r="K163" s="7"/>
      <c r="L163" s="8"/>
      <c r="M163" s="3"/>
      <c r="N163" s="3"/>
      <c r="O163" s="3"/>
      <c r="P163" s="3"/>
      <c r="Q163" s="6"/>
      <c r="R163" s="6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1:40" ht="15.75" customHeight="1" x14ac:dyDescent="0.3">
      <c r="A164" s="3"/>
      <c r="J164" s="6"/>
      <c r="K164" s="7"/>
      <c r="L164" s="8"/>
      <c r="M164" s="3"/>
      <c r="N164" s="3"/>
      <c r="O164" s="3"/>
      <c r="P164" s="3"/>
      <c r="Q164" s="6"/>
      <c r="R164" s="6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1:40" ht="15.75" customHeight="1" x14ac:dyDescent="0.3">
      <c r="A165" s="3"/>
      <c r="J165" s="6"/>
      <c r="K165" s="7"/>
      <c r="L165" s="8"/>
      <c r="M165" s="3"/>
      <c r="N165" s="3"/>
      <c r="O165" s="3"/>
      <c r="P165" s="3"/>
      <c r="Q165" s="6"/>
      <c r="R165" s="6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1:40" ht="15.75" customHeight="1" x14ac:dyDescent="0.3">
      <c r="A166" s="3"/>
      <c r="J166" s="6"/>
      <c r="K166" s="7"/>
      <c r="L166" s="8"/>
      <c r="M166" s="3"/>
      <c r="N166" s="3"/>
      <c r="O166" s="3"/>
      <c r="P166" s="3"/>
      <c r="Q166" s="6"/>
      <c r="R166" s="6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1:40" ht="15.75" customHeight="1" x14ac:dyDescent="0.3">
      <c r="A167" s="3"/>
      <c r="J167" s="6"/>
      <c r="K167" s="7"/>
      <c r="L167" s="8"/>
      <c r="M167" s="3"/>
      <c r="N167" s="3"/>
      <c r="O167" s="3"/>
      <c r="P167" s="3"/>
      <c r="Q167" s="6"/>
      <c r="R167" s="6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1:40" ht="15.75" customHeight="1" x14ac:dyDescent="0.3">
      <c r="A168" s="3"/>
      <c r="J168" s="6"/>
      <c r="K168" s="7"/>
      <c r="L168" s="8"/>
      <c r="M168" s="3"/>
      <c r="N168" s="3"/>
      <c r="O168" s="3"/>
      <c r="P168" s="3"/>
      <c r="Q168" s="6"/>
      <c r="R168" s="6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1:40" ht="15.75" customHeight="1" x14ac:dyDescent="0.3">
      <c r="A169" s="3"/>
      <c r="J169" s="6"/>
      <c r="K169" s="7"/>
      <c r="L169" s="8"/>
      <c r="M169" s="3"/>
      <c r="N169" s="3"/>
      <c r="O169" s="3"/>
      <c r="P169" s="3"/>
      <c r="Q169" s="6"/>
      <c r="R169" s="6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1:40" ht="15.75" customHeight="1" x14ac:dyDescent="0.3">
      <c r="A170" s="3"/>
      <c r="J170" s="6"/>
      <c r="K170" s="7"/>
      <c r="L170" s="8"/>
      <c r="M170" s="3"/>
      <c r="N170" s="3"/>
      <c r="O170" s="3"/>
      <c r="P170" s="3"/>
      <c r="Q170" s="6"/>
      <c r="R170" s="6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pans="1:40" ht="15.75" customHeight="1" x14ac:dyDescent="0.3">
      <c r="A171" s="3"/>
      <c r="J171" s="6"/>
      <c r="K171" s="7"/>
      <c r="L171" s="8"/>
      <c r="M171" s="3"/>
      <c r="N171" s="3"/>
      <c r="O171" s="3"/>
      <c r="P171" s="3"/>
      <c r="Q171" s="6"/>
      <c r="R171" s="6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pans="1:40" ht="15.75" customHeight="1" x14ac:dyDescent="0.3">
      <c r="A172" s="3"/>
      <c r="J172" s="6"/>
      <c r="K172" s="7"/>
      <c r="L172" s="8"/>
      <c r="M172" s="3"/>
      <c r="N172" s="3"/>
      <c r="O172" s="3"/>
      <c r="P172" s="3"/>
      <c r="Q172" s="6"/>
      <c r="R172" s="6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pans="1:40" ht="15.75" customHeight="1" x14ac:dyDescent="0.3">
      <c r="A173" s="3"/>
      <c r="J173" s="6"/>
      <c r="K173" s="7"/>
      <c r="L173" s="8"/>
      <c r="M173" s="3"/>
      <c r="N173" s="3"/>
      <c r="O173" s="3"/>
      <c r="P173" s="3"/>
      <c r="Q173" s="6"/>
      <c r="R173" s="6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pans="1:40" ht="15.75" customHeight="1" x14ac:dyDescent="0.3">
      <c r="A174" s="3"/>
      <c r="J174" s="6"/>
      <c r="K174" s="7"/>
      <c r="L174" s="8"/>
      <c r="M174" s="3"/>
      <c r="N174" s="3"/>
      <c r="O174" s="3"/>
      <c r="P174" s="3"/>
      <c r="Q174" s="6"/>
      <c r="R174" s="6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1:40" ht="15.75" customHeight="1" x14ac:dyDescent="0.3">
      <c r="A175" s="3"/>
      <c r="J175" s="6"/>
      <c r="K175" s="7"/>
      <c r="L175" s="8"/>
      <c r="M175" s="3"/>
      <c r="N175" s="3"/>
      <c r="O175" s="3"/>
      <c r="P175" s="3"/>
      <c r="Q175" s="6"/>
      <c r="R175" s="6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1:40" ht="15.75" customHeight="1" x14ac:dyDescent="0.3">
      <c r="A176" s="3"/>
      <c r="J176" s="6"/>
      <c r="K176" s="7"/>
      <c r="L176" s="8"/>
      <c r="M176" s="3"/>
      <c r="N176" s="3"/>
      <c r="O176" s="3"/>
      <c r="P176" s="3"/>
      <c r="Q176" s="6"/>
      <c r="R176" s="6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1:40" ht="15.75" customHeight="1" x14ac:dyDescent="0.3">
      <c r="A177" s="3"/>
      <c r="J177" s="6"/>
      <c r="K177" s="7"/>
      <c r="L177" s="8"/>
      <c r="M177" s="3"/>
      <c r="N177" s="3"/>
      <c r="O177" s="3"/>
      <c r="P177" s="3"/>
      <c r="Q177" s="6"/>
      <c r="R177" s="6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1:40" ht="15.75" customHeight="1" x14ac:dyDescent="0.3">
      <c r="A178" s="3"/>
      <c r="J178" s="6"/>
      <c r="K178" s="7"/>
      <c r="L178" s="8"/>
      <c r="M178" s="3"/>
      <c r="N178" s="3"/>
      <c r="O178" s="3"/>
      <c r="P178" s="3"/>
      <c r="Q178" s="6"/>
      <c r="R178" s="6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1:40" ht="15.75" customHeight="1" x14ac:dyDescent="0.3">
      <c r="A179" s="3"/>
      <c r="J179" s="6"/>
      <c r="K179" s="7"/>
      <c r="L179" s="8"/>
      <c r="M179" s="3"/>
      <c r="N179" s="3"/>
      <c r="O179" s="3"/>
      <c r="P179" s="3"/>
      <c r="Q179" s="6"/>
      <c r="R179" s="6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1:40" ht="15.75" customHeight="1" x14ac:dyDescent="0.3">
      <c r="A180" s="3"/>
      <c r="J180" s="6"/>
      <c r="K180" s="7"/>
      <c r="L180" s="8"/>
      <c r="M180" s="3"/>
      <c r="N180" s="3"/>
      <c r="O180" s="3"/>
      <c r="P180" s="3"/>
      <c r="Q180" s="6"/>
      <c r="R180" s="6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1:40" ht="15.75" customHeight="1" x14ac:dyDescent="0.3">
      <c r="A181" s="3"/>
      <c r="J181" s="6"/>
      <c r="K181" s="7"/>
      <c r="L181" s="8"/>
      <c r="M181" s="3"/>
      <c r="N181" s="3"/>
      <c r="O181" s="3"/>
      <c r="P181" s="3"/>
      <c r="Q181" s="6"/>
      <c r="R181" s="6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1:40" ht="15.75" customHeight="1" x14ac:dyDescent="0.3">
      <c r="A182" s="3"/>
      <c r="J182" s="6"/>
      <c r="K182" s="7"/>
      <c r="L182" s="8"/>
      <c r="M182" s="3"/>
      <c r="N182" s="3"/>
      <c r="O182" s="3"/>
      <c r="P182" s="3"/>
      <c r="Q182" s="6"/>
      <c r="R182" s="6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1:40" ht="15.75" customHeight="1" x14ac:dyDescent="0.3">
      <c r="A183" s="3"/>
      <c r="J183" s="6"/>
      <c r="K183" s="7"/>
      <c r="L183" s="8"/>
      <c r="M183" s="3"/>
      <c r="N183" s="3"/>
      <c r="O183" s="3"/>
      <c r="P183" s="3"/>
      <c r="Q183" s="6"/>
      <c r="R183" s="6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1:40" ht="15.75" customHeight="1" x14ac:dyDescent="0.3">
      <c r="A184" s="3"/>
      <c r="J184" s="6"/>
      <c r="K184" s="7"/>
      <c r="L184" s="8"/>
      <c r="M184" s="3"/>
      <c r="N184" s="3"/>
      <c r="O184" s="3"/>
      <c r="P184" s="3"/>
      <c r="Q184" s="6"/>
      <c r="R184" s="6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1:40" ht="15.75" customHeight="1" x14ac:dyDescent="0.3">
      <c r="A185" s="3"/>
      <c r="J185" s="6"/>
      <c r="K185" s="7"/>
      <c r="L185" s="8"/>
      <c r="M185" s="3"/>
      <c r="N185" s="3"/>
      <c r="O185" s="3"/>
      <c r="P185" s="3"/>
      <c r="Q185" s="6"/>
      <c r="R185" s="6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1:40" ht="15.75" customHeight="1" x14ac:dyDescent="0.3">
      <c r="A186" s="3"/>
      <c r="J186" s="6"/>
      <c r="K186" s="7"/>
      <c r="L186" s="8"/>
      <c r="M186" s="3"/>
      <c r="N186" s="3"/>
      <c r="O186" s="3"/>
      <c r="P186" s="3"/>
      <c r="Q186" s="6"/>
      <c r="R186" s="6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1:40" ht="15.75" customHeight="1" x14ac:dyDescent="0.3">
      <c r="A187" s="3"/>
      <c r="J187" s="6"/>
      <c r="K187" s="7"/>
      <c r="L187" s="8"/>
      <c r="M187" s="3"/>
      <c r="N187" s="3"/>
      <c r="O187" s="3"/>
      <c r="P187" s="3"/>
      <c r="Q187" s="6"/>
      <c r="R187" s="6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1:40" ht="15.75" customHeight="1" x14ac:dyDescent="0.3">
      <c r="A188" s="3"/>
      <c r="J188" s="6"/>
      <c r="K188" s="7"/>
      <c r="L188" s="8"/>
      <c r="M188" s="3"/>
      <c r="N188" s="3"/>
      <c r="O188" s="3"/>
      <c r="P188" s="3"/>
      <c r="Q188" s="6"/>
      <c r="R188" s="6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1:40" ht="15.75" customHeight="1" x14ac:dyDescent="0.3">
      <c r="A189" s="3"/>
      <c r="J189" s="6"/>
      <c r="K189" s="7"/>
      <c r="L189" s="8"/>
      <c r="M189" s="3"/>
      <c r="N189" s="3"/>
      <c r="O189" s="3"/>
      <c r="P189" s="3"/>
      <c r="Q189" s="6"/>
      <c r="R189" s="6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1:40" ht="15.75" customHeight="1" x14ac:dyDescent="0.3">
      <c r="A190" s="3"/>
      <c r="J190" s="6"/>
      <c r="K190" s="7"/>
      <c r="L190" s="8"/>
      <c r="M190" s="3"/>
      <c r="N190" s="3"/>
      <c r="O190" s="3"/>
      <c r="P190" s="3"/>
      <c r="Q190" s="6"/>
      <c r="R190" s="6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1:40" ht="15.75" customHeight="1" x14ac:dyDescent="0.3">
      <c r="A191" s="3"/>
      <c r="J191" s="6"/>
      <c r="K191" s="7"/>
      <c r="L191" s="8"/>
      <c r="M191" s="3"/>
      <c r="N191" s="3"/>
      <c r="O191" s="3"/>
      <c r="P191" s="3"/>
      <c r="Q191" s="6"/>
      <c r="R191" s="6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1:40" ht="15.75" customHeight="1" x14ac:dyDescent="0.3">
      <c r="A192" s="3"/>
      <c r="J192" s="6"/>
      <c r="K192" s="7"/>
      <c r="L192" s="8"/>
      <c r="M192" s="3"/>
      <c r="N192" s="3"/>
      <c r="O192" s="3"/>
      <c r="P192" s="3"/>
      <c r="Q192" s="6"/>
      <c r="R192" s="6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1:40" ht="15.75" customHeight="1" x14ac:dyDescent="0.3">
      <c r="A193" s="3"/>
      <c r="J193" s="6"/>
      <c r="K193" s="7"/>
      <c r="L193" s="8"/>
      <c r="M193" s="3"/>
      <c r="N193" s="3"/>
      <c r="O193" s="3"/>
      <c r="P193" s="3"/>
      <c r="Q193" s="6"/>
      <c r="R193" s="6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1:40" ht="15.75" customHeight="1" x14ac:dyDescent="0.3">
      <c r="A194" s="3"/>
      <c r="J194" s="6"/>
      <c r="K194" s="7"/>
      <c r="L194" s="8"/>
      <c r="M194" s="3"/>
      <c r="N194" s="3"/>
      <c r="O194" s="3"/>
      <c r="P194" s="3"/>
      <c r="Q194" s="6"/>
      <c r="R194" s="6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1:40" ht="15.75" customHeight="1" x14ac:dyDescent="0.3">
      <c r="A195" s="3"/>
      <c r="J195" s="6"/>
      <c r="K195" s="7"/>
      <c r="L195" s="8"/>
      <c r="M195" s="3"/>
      <c r="N195" s="3"/>
      <c r="O195" s="3"/>
      <c r="P195" s="3"/>
      <c r="Q195" s="6"/>
      <c r="R195" s="6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1:40" ht="15.75" customHeight="1" x14ac:dyDescent="0.3">
      <c r="A196" s="3"/>
      <c r="J196" s="6"/>
      <c r="K196" s="7"/>
      <c r="L196" s="8"/>
      <c r="M196" s="3"/>
      <c r="N196" s="3"/>
      <c r="O196" s="3"/>
      <c r="P196" s="3"/>
      <c r="Q196" s="6"/>
      <c r="R196" s="6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1:40" ht="15.75" customHeight="1" x14ac:dyDescent="0.3">
      <c r="A197" s="3"/>
      <c r="J197" s="6"/>
      <c r="K197" s="7"/>
      <c r="L197" s="8"/>
      <c r="M197" s="3"/>
      <c r="N197" s="3"/>
      <c r="O197" s="3"/>
      <c r="P197" s="3"/>
      <c r="Q197" s="6"/>
      <c r="R197" s="6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1:40" ht="15.75" customHeight="1" x14ac:dyDescent="0.3">
      <c r="A198" s="3"/>
      <c r="J198" s="6"/>
      <c r="K198" s="7"/>
      <c r="L198" s="8"/>
      <c r="M198" s="3"/>
      <c r="N198" s="3"/>
      <c r="O198" s="3"/>
      <c r="P198" s="3"/>
      <c r="Q198" s="6"/>
      <c r="R198" s="6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1:40" ht="15.75" customHeight="1" x14ac:dyDescent="0.3">
      <c r="A199" s="3"/>
      <c r="J199" s="6"/>
      <c r="K199" s="7"/>
      <c r="L199" s="8"/>
      <c r="M199" s="3"/>
      <c r="N199" s="3"/>
      <c r="O199" s="3"/>
      <c r="P199" s="3"/>
      <c r="Q199" s="6"/>
      <c r="R199" s="6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1:40" ht="15.75" customHeight="1" x14ac:dyDescent="0.3">
      <c r="A200" s="3"/>
      <c r="J200" s="6"/>
      <c r="K200" s="7"/>
      <c r="L200" s="8"/>
      <c r="M200" s="3"/>
      <c r="N200" s="3"/>
      <c r="O200" s="3"/>
      <c r="P200" s="3"/>
      <c r="Q200" s="6"/>
      <c r="R200" s="6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1:40" ht="15.75" customHeight="1" x14ac:dyDescent="0.3">
      <c r="A201" s="3"/>
      <c r="J201" s="6"/>
      <c r="K201" s="7"/>
      <c r="L201" s="8"/>
      <c r="M201" s="3"/>
      <c r="N201" s="3"/>
      <c r="O201" s="3"/>
      <c r="P201" s="3"/>
      <c r="Q201" s="6"/>
      <c r="R201" s="6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pans="1:40" ht="15.75" customHeight="1" x14ac:dyDescent="0.3">
      <c r="A202" s="3"/>
      <c r="J202" s="6"/>
      <c r="K202" s="7"/>
      <c r="L202" s="8"/>
      <c r="M202" s="3"/>
      <c r="N202" s="3"/>
      <c r="O202" s="3"/>
      <c r="P202" s="3"/>
      <c r="Q202" s="6"/>
      <c r="R202" s="6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pans="1:40" ht="15.75" customHeight="1" x14ac:dyDescent="0.3">
      <c r="A203" s="3"/>
      <c r="J203" s="6"/>
      <c r="K203" s="7"/>
      <c r="L203" s="8"/>
      <c r="M203" s="3"/>
      <c r="N203" s="3"/>
      <c r="O203" s="3"/>
      <c r="P203" s="3"/>
      <c r="Q203" s="6"/>
      <c r="R203" s="6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1:40" ht="15.75" customHeight="1" x14ac:dyDescent="0.3">
      <c r="A204" s="3"/>
      <c r="J204" s="6"/>
      <c r="K204" s="7"/>
      <c r="L204" s="8"/>
      <c r="M204" s="3"/>
      <c r="N204" s="3"/>
      <c r="O204" s="3"/>
      <c r="P204" s="3"/>
      <c r="Q204" s="6"/>
      <c r="R204" s="6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1:40" ht="15.75" customHeight="1" x14ac:dyDescent="0.3">
      <c r="A205" s="3"/>
      <c r="J205" s="6"/>
      <c r="K205" s="7"/>
      <c r="L205" s="8"/>
      <c r="M205" s="3"/>
      <c r="N205" s="3"/>
      <c r="O205" s="3"/>
      <c r="P205" s="3"/>
      <c r="Q205" s="6"/>
      <c r="R205" s="6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1:40" ht="15.75" customHeight="1" x14ac:dyDescent="0.3">
      <c r="A206" s="3"/>
      <c r="J206" s="6"/>
      <c r="K206" s="7"/>
      <c r="L206" s="8"/>
      <c r="M206" s="3"/>
      <c r="N206" s="3"/>
      <c r="O206" s="3"/>
      <c r="P206" s="3"/>
      <c r="Q206" s="6"/>
      <c r="R206" s="6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1:40" ht="15.75" customHeight="1" x14ac:dyDescent="0.3">
      <c r="A207" s="3"/>
      <c r="J207" s="6"/>
      <c r="K207" s="7"/>
      <c r="L207" s="8"/>
      <c r="M207" s="3"/>
      <c r="N207" s="3"/>
      <c r="O207" s="3"/>
      <c r="P207" s="3"/>
      <c r="Q207" s="6"/>
      <c r="R207" s="6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1:40" ht="15.75" customHeight="1" x14ac:dyDescent="0.3">
      <c r="A208" s="3"/>
      <c r="J208" s="6"/>
      <c r="K208" s="7"/>
      <c r="L208" s="8"/>
      <c r="M208" s="3"/>
      <c r="N208" s="3"/>
      <c r="O208" s="3"/>
      <c r="P208" s="3"/>
      <c r="Q208" s="6"/>
      <c r="R208" s="6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1:40" ht="15.75" customHeight="1" x14ac:dyDescent="0.3">
      <c r="A209" s="3"/>
      <c r="J209" s="6"/>
      <c r="K209" s="7"/>
      <c r="L209" s="8"/>
      <c r="M209" s="3"/>
      <c r="N209" s="3"/>
      <c r="O209" s="3"/>
      <c r="P209" s="3"/>
      <c r="Q209" s="6"/>
      <c r="R209" s="6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1:40" ht="15.75" customHeight="1" x14ac:dyDescent="0.3">
      <c r="A210" s="3"/>
      <c r="J210" s="6"/>
      <c r="K210" s="7"/>
      <c r="L210" s="8"/>
      <c r="M210" s="3"/>
      <c r="N210" s="3"/>
      <c r="O210" s="3"/>
      <c r="P210" s="3"/>
      <c r="Q210" s="6"/>
      <c r="R210" s="6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1:40" ht="15.75" customHeight="1" x14ac:dyDescent="0.3">
      <c r="A211" s="3"/>
      <c r="J211" s="6"/>
      <c r="K211" s="7"/>
      <c r="L211" s="8"/>
      <c r="M211" s="3"/>
      <c r="N211" s="3"/>
      <c r="O211" s="3"/>
      <c r="P211" s="3"/>
      <c r="Q211" s="6"/>
      <c r="R211" s="6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pans="1:40" ht="15.75" customHeight="1" x14ac:dyDescent="0.3">
      <c r="A212" s="3"/>
      <c r="J212" s="6"/>
      <c r="K212" s="7"/>
      <c r="L212" s="8"/>
      <c r="M212" s="3"/>
      <c r="N212" s="3"/>
      <c r="O212" s="3"/>
      <c r="P212" s="3"/>
      <c r="Q212" s="6"/>
      <c r="R212" s="6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pans="1:40" ht="15.75" customHeight="1" x14ac:dyDescent="0.3">
      <c r="A213" s="3"/>
      <c r="J213" s="6"/>
      <c r="K213" s="7"/>
      <c r="L213" s="8"/>
      <c r="M213" s="3"/>
      <c r="N213" s="3"/>
      <c r="O213" s="3"/>
      <c r="P213" s="3"/>
      <c r="Q213" s="6"/>
      <c r="R213" s="6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1:40" ht="15.75" customHeight="1" x14ac:dyDescent="0.3">
      <c r="A214" s="3"/>
      <c r="J214" s="6"/>
      <c r="K214" s="7"/>
      <c r="L214" s="8"/>
      <c r="M214" s="3"/>
      <c r="N214" s="3"/>
      <c r="O214" s="3"/>
      <c r="P214" s="3"/>
      <c r="Q214" s="6"/>
      <c r="R214" s="6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pans="1:40" ht="15.75" customHeight="1" x14ac:dyDescent="0.3">
      <c r="A215" s="3"/>
      <c r="J215" s="6"/>
      <c r="K215" s="7"/>
      <c r="L215" s="8"/>
      <c r="M215" s="3"/>
      <c r="N215" s="3"/>
      <c r="O215" s="3"/>
      <c r="P215" s="3"/>
      <c r="Q215" s="6"/>
      <c r="R215" s="6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pans="1:40" ht="15.75" customHeight="1" x14ac:dyDescent="0.3">
      <c r="A216" s="3"/>
      <c r="J216" s="6"/>
      <c r="K216" s="7"/>
      <c r="L216" s="8"/>
      <c r="M216" s="3"/>
      <c r="N216" s="3"/>
      <c r="O216" s="3"/>
      <c r="P216" s="3"/>
      <c r="Q216" s="6"/>
      <c r="R216" s="6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1:40" ht="15.75" customHeight="1" x14ac:dyDescent="0.3">
      <c r="A217" s="3"/>
      <c r="J217" s="6"/>
      <c r="K217" s="7"/>
      <c r="L217" s="8"/>
      <c r="M217" s="3"/>
      <c r="N217" s="3"/>
      <c r="O217" s="3"/>
      <c r="P217" s="3"/>
      <c r="Q217" s="6"/>
      <c r="R217" s="6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pans="1:40" ht="15.75" customHeight="1" x14ac:dyDescent="0.3">
      <c r="A218" s="3"/>
      <c r="J218" s="6"/>
      <c r="K218" s="7"/>
      <c r="L218" s="8"/>
      <c r="M218" s="3"/>
      <c r="N218" s="3"/>
      <c r="O218" s="3"/>
      <c r="P218" s="3"/>
      <c r="Q218" s="6"/>
      <c r="R218" s="6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pans="1:40" ht="15.75" customHeight="1" x14ac:dyDescent="0.3">
      <c r="A219" s="3"/>
      <c r="J219" s="6"/>
      <c r="K219" s="7"/>
      <c r="L219" s="8"/>
      <c r="M219" s="3"/>
      <c r="N219" s="3"/>
      <c r="O219" s="3"/>
      <c r="P219" s="3"/>
      <c r="Q219" s="6"/>
      <c r="R219" s="6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pans="1:40" ht="15.75" customHeight="1" x14ac:dyDescent="0.3">
      <c r="A220" s="3"/>
      <c r="J220" s="6"/>
      <c r="K220" s="7"/>
      <c r="L220" s="8"/>
      <c r="M220" s="3"/>
      <c r="N220" s="3"/>
      <c r="O220" s="3"/>
      <c r="P220" s="3"/>
      <c r="Q220" s="6"/>
      <c r="R220" s="6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pans="1:40" ht="15.75" customHeight="1" x14ac:dyDescent="0.3">
      <c r="A221" s="3"/>
      <c r="J221" s="6"/>
      <c r="K221" s="7"/>
      <c r="L221" s="8"/>
      <c r="M221" s="3"/>
      <c r="N221" s="3"/>
      <c r="O221" s="3"/>
      <c r="P221" s="3"/>
      <c r="Q221" s="6"/>
      <c r="R221" s="6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1:40" ht="15.75" customHeight="1" x14ac:dyDescent="0.3">
      <c r="A222" s="3"/>
      <c r="J222" s="6"/>
      <c r="K222" s="7"/>
      <c r="L222" s="8"/>
      <c r="M222" s="3"/>
      <c r="N222" s="3"/>
      <c r="O222" s="3"/>
      <c r="P222" s="3"/>
      <c r="Q222" s="6"/>
      <c r="R222" s="6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1:40" ht="15.75" customHeight="1" x14ac:dyDescent="0.3">
      <c r="A223" s="3"/>
      <c r="J223" s="6"/>
      <c r="K223" s="7"/>
      <c r="L223" s="8"/>
      <c r="M223" s="3"/>
      <c r="N223" s="3"/>
      <c r="O223" s="3"/>
      <c r="P223" s="3"/>
      <c r="Q223" s="6"/>
      <c r="R223" s="6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pans="1:40" ht="15.75" customHeight="1" x14ac:dyDescent="0.3">
      <c r="A224" s="3"/>
      <c r="J224" s="6"/>
      <c r="K224" s="7"/>
      <c r="L224" s="8"/>
      <c r="M224" s="3"/>
      <c r="N224" s="3"/>
      <c r="O224" s="3"/>
      <c r="P224" s="3"/>
      <c r="Q224" s="6"/>
      <c r="R224" s="6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1:40" ht="15.75" customHeight="1" x14ac:dyDescent="0.3">
      <c r="A225" s="3"/>
      <c r="J225" s="6"/>
      <c r="K225" s="7"/>
      <c r="L225" s="8"/>
      <c r="M225" s="3"/>
      <c r="N225" s="3"/>
      <c r="O225" s="3"/>
      <c r="P225" s="3"/>
      <c r="Q225" s="6"/>
      <c r="R225" s="6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spans="1:40" ht="15.75" customHeight="1" x14ac:dyDescent="0.3">
      <c r="A226" s="3"/>
      <c r="J226" s="6"/>
      <c r="K226" s="7"/>
      <c r="L226" s="8"/>
      <c r="M226" s="3"/>
      <c r="N226" s="3"/>
      <c r="O226" s="3"/>
      <c r="P226" s="3"/>
      <c r="Q226" s="6"/>
      <c r="R226" s="6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spans="1:40" ht="15.75" customHeight="1" x14ac:dyDescent="0.3">
      <c r="A227" s="3"/>
      <c r="J227" s="6"/>
      <c r="K227" s="7"/>
      <c r="L227" s="8"/>
      <c r="M227" s="3"/>
      <c r="N227" s="3"/>
      <c r="O227" s="3"/>
      <c r="P227" s="3"/>
      <c r="Q227" s="6"/>
      <c r="R227" s="6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spans="1:40" ht="15.75" customHeight="1" x14ac:dyDescent="0.3">
      <c r="A228" s="3"/>
      <c r="J228" s="6"/>
      <c r="K228" s="7"/>
      <c r="L228" s="8"/>
      <c r="M228" s="3"/>
      <c r="N228" s="3"/>
      <c r="O228" s="3"/>
      <c r="P228" s="3"/>
      <c r="Q228" s="6"/>
      <c r="R228" s="6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spans="1:40" ht="15.75" customHeight="1" x14ac:dyDescent="0.3">
      <c r="A229" s="3"/>
      <c r="J229" s="6"/>
      <c r="K229" s="7"/>
      <c r="L229" s="8"/>
      <c r="M229" s="3"/>
      <c r="N229" s="3"/>
      <c r="O229" s="3"/>
      <c r="P229" s="3"/>
      <c r="Q229" s="6"/>
      <c r="R229" s="6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spans="1:40" ht="15.75" customHeight="1" x14ac:dyDescent="0.3">
      <c r="A230" s="3"/>
      <c r="J230" s="6"/>
      <c r="K230" s="7"/>
      <c r="L230" s="8"/>
      <c r="M230" s="3"/>
      <c r="N230" s="3"/>
      <c r="O230" s="3"/>
      <c r="P230" s="3"/>
      <c r="Q230" s="6"/>
      <c r="R230" s="6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spans="1:40" ht="15.75" customHeight="1" x14ac:dyDescent="0.3">
      <c r="A231" s="3"/>
      <c r="J231" s="6"/>
      <c r="K231" s="7"/>
      <c r="L231" s="8"/>
      <c r="M231" s="3"/>
      <c r="N231" s="3"/>
      <c r="O231" s="3"/>
      <c r="P231" s="3"/>
      <c r="Q231" s="6"/>
      <c r="R231" s="6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spans="1:40" ht="15.75" customHeight="1" x14ac:dyDescent="0.3">
      <c r="A232" s="3"/>
      <c r="J232" s="6"/>
      <c r="K232" s="7"/>
      <c r="L232" s="8"/>
      <c r="M232" s="3"/>
      <c r="N232" s="3"/>
      <c r="O232" s="3"/>
      <c r="P232" s="3"/>
      <c r="Q232" s="6"/>
      <c r="R232" s="6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spans="1:40" ht="15.75" customHeight="1" x14ac:dyDescent="0.3">
      <c r="A233" s="3"/>
      <c r="J233" s="6"/>
      <c r="K233" s="7"/>
      <c r="L233" s="8"/>
      <c r="M233" s="3"/>
      <c r="N233" s="3"/>
      <c r="O233" s="3"/>
      <c r="P233" s="3"/>
      <c r="Q233" s="6"/>
      <c r="R233" s="6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spans="1:40" ht="15.75" customHeight="1" x14ac:dyDescent="0.3">
      <c r="A234" s="3"/>
      <c r="J234" s="6"/>
      <c r="K234" s="7"/>
      <c r="L234" s="8"/>
      <c r="M234" s="3"/>
      <c r="N234" s="3"/>
      <c r="O234" s="3"/>
      <c r="P234" s="3"/>
      <c r="Q234" s="6"/>
      <c r="R234" s="6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spans="1:40" ht="15.75" customHeight="1" x14ac:dyDescent="0.3">
      <c r="A235" s="3"/>
      <c r="J235" s="6"/>
      <c r="K235" s="7"/>
      <c r="L235" s="8"/>
      <c r="M235" s="3"/>
      <c r="N235" s="3"/>
      <c r="O235" s="3"/>
      <c r="P235" s="3"/>
      <c r="Q235" s="6"/>
      <c r="R235" s="6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spans="1:40" ht="15.75" customHeight="1" x14ac:dyDescent="0.3">
      <c r="A236" s="3"/>
      <c r="J236" s="6"/>
      <c r="K236" s="7"/>
      <c r="L236" s="8"/>
      <c r="M236" s="3"/>
      <c r="N236" s="3"/>
      <c r="O236" s="3"/>
      <c r="P236" s="3"/>
      <c r="Q236" s="6"/>
      <c r="R236" s="6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spans="1:40" ht="15.75" customHeight="1" x14ac:dyDescent="0.3">
      <c r="A237" s="3"/>
      <c r="J237" s="6"/>
      <c r="K237" s="7"/>
      <c r="L237" s="8"/>
      <c r="M237" s="3"/>
      <c r="N237" s="3"/>
      <c r="O237" s="3"/>
      <c r="P237" s="3"/>
      <c r="Q237" s="6"/>
      <c r="R237" s="6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spans="1:40" ht="15.75" customHeight="1" x14ac:dyDescent="0.3">
      <c r="A238" s="3"/>
      <c r="J238" s="6"/>
      <c r="K238" s="7"/>
      <c r="L238" s="8"/>
      <c r="M238" s="3"/>
      <c r="N238" s="3"/>
      <c r="O238" s="3"/>
      <c r="P238" s="3"/>
      <c r="Q238" s="6"/>
      <c r="R238" s="6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spans="1:40" ht="15.75" customHeight="1" x14ac:dyDescent="0.3">
      <c r="A239" s="3"/>
      <c r="J239" s="6"/>
      <c r="K239" s="7"/>
      <c r="L239" s="8"/>
      <c r="M239" s="3"/>
      <c r="N239" s="3"/>
      <c r="O239" s="3"/>
      <c r="P239" s="3"/>
      <c r="Q239" s="6"/>
      <c r="R239" s="6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spans="1:40" ht="15.75" customHeight="1" x14ac:dyDescent="0.3">
      <c r="A240" s="3"/>
      <c r="J240" s="6"/>
      <c r="K240" s="7"/>
      <c r="L240" s="8"/>
      <c r="M240" s="3"/>
      <c r="N240" s="3"/>
      <c r="O240" s="3"/>
      <c r="P240" s="3"/>
      <c r="Q240" s="6"/>
      <c r="R240" s="6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spans="1:40" ht="15.75" customHeight="1" x14ac:dyDescent="0.3">
      <c r="A241" s="3"/>
      <c r="J241" s="6"/>
      <c r="K241" s="7"/>
      <c r="L241" s="8"/>
      <c r="M241" s="3"/>
      <c r="N241" s="3"/>
      <c r="O241" s="3"/>
      <c r="P241" s="3"/>
      <c r="Q241" s="6"/>
      <c r="R241" s="6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spans="1:40" ht="15.75" customHeight="1" x14ac:dyDescent="0.3">
      <c r="A242" s="3"/>
      <c r="J242" s="6"/>
      <c r="K242" s="7"/>
      <c r="L242" s="8"/>
      <c r="M242" s="3"/>
      <c r="N242" s="3"/>
      <c r="O242" s="3"/>
      <c r="P242" s="3"/>
      <c r="Q242" s="6"/>
      <c r="R242" s="6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spans="1:40" ht="15.75" customHeight="1" x14ac:dyDescent="0.3">
      <c r="A243" s="3"/>
      <c r="J243" s="6"/>
      <c r="K243" s="7"/>
      <c r="L243" s="8"/>
      <c r="M243" s="3"/>
      <c r="N243" s="3"/>
      <c r="O243" s="3"/>
      <c r="P243" s="3"/>
      <c r="Q243" s="6"/>
      <c r="R243" s="6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spans="1:40" ht="15.75" customHeight="1" x14ac:dyDescent="0.3">
      <c r="A244" s="3"/>
      <c r="J244" s="6"/>
      <c r="K244" s="7"/>
      <c r="L244" s="8"/>
      <c r="M244" s="3"/>
      <c r="N244" s="3"/>
      <c r="O244" s="3"/>
      <c r="P244" s="3"/>
      <c r="Q244" s="6"/>
      <c r="R244" s="6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spans="1:40" ht="15.75" customHeight="1" x14ac:dyDescent="0.3">
      <c r="A245" s="3"/>
      <c r="J245" s="6"/>
      <c r="K245" s="7"/>
      <c r="L245" s="8"/>
      <c r="M245" s="3"/>
      <c r="N245" s="3"/>
      <c r="O245" s="3"/>
      <c r="P245" s="3"/>
      <c r="Q245" s="6"/>
      <c r="R245" s="6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spans="1:40" ht="15.75" customHeight="1" x14ac:dyDescent="0.3">
      <c r="A246" s="3"/>
      <c r="J246" s="6"/>
      <c r="K246" s="7"/>
      <c r="L246" s="8"/>
      <c r="M246" s="3"/>
      <c r="N246" s="3"/>
      <c r="O246" s="3"/>
      <c r="P246" s="3"/>
      <c r="Q246" s="6"/>
      <c r="R246" s="6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spans="1:40" ht="15.75" customHeight="1" x14ac:dyDescent="0.3">
      <c r="A247" s="3"/>
      <c r="J247" s="6"/>
      <c r="K247" s="7"/>
      <c r="L247" s="8"/>
      <c r="M247" s="3"/>
      <c r="N247" s="3"/>
      <c r="O247" s="3"/>
      <c r="P247" s="3"/>
      <c r="Q247" s="6"/>
      <c r="R247" s="6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spans="1:40" ht="15.75" customHeight="1" x14ac:dyDescent="0.3">
      <c r="A248" s="3"/>
      <c r="J248" s="6"/>
      <c r="K248" s="7"/>
      <c r="L248" s="8"/>
      <c r="M248" s="3"/>
      <c r="N248" s="3"/>
      <c r="O248" s="3"/>
      <c r="P248" s="3"/>
      <c r="Q248" s="6"/>
      <c r="R248" s="6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spans="1:40" ht="15.75" customHeight="1" x14ac:dyDescent="0.3">
      <c r="A249" s="3"/>
      <c r="J249" s="6"/>
      <c r="K249" s="7"/>
      <c r="L249" s="8"/>
      <c r="M249" s="3"/>
      <c r="N249" s="3"/>
      <c r="O249" s="3"/>
      <c r="P249" s="3"/>
      <c r="Q249" s="6"/>
      <c r="R249" s="6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spans="1:40" ht="15.75" customHeight="1" x14ac:dyDescent="0.3">
      <c r="A250" s="3"/>
      <c r="J250" s="6"/>
      <c r="K250" s="7"/>
      <c r="L250" s="8"/>
      <c r="M250" s="3"/>
      <c r="N250" s="3"/>
      <c r="O250" s="3"/>
      <c r="P250" s="3"/>
      <c r="Q250" s="6"/>
      <c r="R250" s="6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spans="1:40" ht="15.75" customHeight="1" x14ac:dyDescent="0.3">
      <c r="A251" s="3"/>
      <c r="J251" s="6"/>
      <c r="K251" s="7"/>
      <c r="L251" s="8"/>
      <c r="M251" s="3"/>
      <c r="N251" s="3"/>
      <c r="O251" s="3"/>
      <c r="P251" s="3"/>
      <c r="Q251" s="6"/>
      <c r="R251" s="6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spans="1:40" ht="15.75" customHeight="1" x14ac:dyDescent="0.3">
      <c r="A252" s="3"/>
      <c r="J252" s="6"/>
      <c r="K252" s="7"/>
      <c r="L252" s="8"/>
      <c r="M252" s="3"/>
      <c r="N252" s="3"/>
      <c r="O252" s="3"/>
      <c r="P252" s="3"/>
      <c r="Q252" s="6"/>
      <c r="R252" s="6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spans="1:40" ht="15.75" customHeight="1" x14ac:dyDescent="0.3">
      <c r="A253" s="3"/>
      <c r="J253" s="6"/>
      <c r="K253" s="7"/>
      <c r="L253" s="8"/>
      <c r="M253" s="3"/>
      <c r="N253" s="3"/>
      <c r="O253" s="3"/>
      <c r="P253" s="3"/>
      <c r="Q253" s="6"/>
      <c r="R253" s="6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spans="1:40" ht="15.75" customHeight="1" x14ac:dyDescent="0.3">
      <c r="A254" s="3"/>
      <c r="J254" s="6"/>
      <c r="K254" s="7"/>
      <c r="L254" s="8"/>
      <c r="M254" s="3"/>
      <c r="N254" s="3"/>
      <c r="O254" s="3"/>
      <c r="P254" s="3"/>
      <c r="Q254" s="6"/>
      <c r="R254" s="6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spans="1:40" ht="15.75" customHeight="1" x14ac:dyDescent="0.3">
      <c r="A255" s="3"/>
      <c r="J255" s="6"/>
      <c r="K255" s="7"/>
      <c r="L255" s="8"/>
      <c r="M255" s="3"/>
      <c r="N255" s="3"/>
      <c r="O255" s="3"/>
      <c r="P255" s="3"/>
      <c r="Q255" s="6"/>
      <c r="R255" s="6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spans="1:40" ht="15.75" customHeight="1" x14ac:dyDescent="0.3">
      <c r="A256" s="3"/>
      <c r="J256" s="6"/>
      <c r="K256" s="7"/>
      <c r="L256" s="8"/>
      <c r="M256" s="3"/>
      <c r="N256" s="3"/>
      <c r="O256" s="3"/>
      <c r="P256" s="3"/>
      <c r="Q256" s="6"/>
      <c r="R256" s="6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spans="1:40" ht="15.75" customHeight="1" x14ac:dyDescent="0.3">
      <c r="A257" s="3"/>
      <c r="J257" s="6"/>
      <c r="K257" s="7"/>
      <c r="L257" s="8"/>
      <c r="M257" s="3"/>
      <c r="N257" s="3"/>
      <c r="O257" s="3"/>
      <c r="P257" s="3"/>
      <c r="Q257" s="6"/>
      <c r="R257" s="6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spans="1:40" ht="15.75" customHeight="1" x14ac:dyDescent="0.3">
      <c r="A258" s="3"/>
      <c r="J258" s="6"/>
      <c r="K258" s="7"/>
      <c r="L258" s="8"/>
      <c r="M258" s="3"/>
      <c r="N258" s="3"/>
      <c r="O258" s="3"/>
      <c r="P258" s="3"/>
      <c r="Q258" s="6"/>
      <c r="R258" s="6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spans="1:40" ht="15.75" customHeight="1" x14ac:dyDescent="0.3">
      <c r="A259" s="3"/>
      <c r="J259" s="6"/>
      <c r="K259" s="7"/>
      <c r="L259" s="8"/>
      <c r="M259" s="3"/>
      <c r="N259" s="3"/>
      <c r="O259" s="3"/>
      <c r="P259" s="3"/>
      <c r="Q259" s="6"/>
      <c r="R259" s="6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spans="1:40" ht="15.75" customHeight="1" x14ac:dyDescent="0.3">
      <c r="A260" s="3"/>
      <c r="J260" s="6"/>
      <c r="K260" s="7"/>
      <c r="L260" s="8"/>
      <c r="M260" s="3"/>
      <c r="N260" s="3"/>
      <c r="O260" s="3"/>
      <c r="P260" s="3"/>
      <c r="Q260" s="6"/>
      <c r="R260" s="6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spans="1:40" ht="15.75" customHeight="1" x14ac:dyDescent="0.3">
      <c r="A261" s="3"/>
      <c r="J261" s="6"/>
      <c r="K261" s="7"/>
      <c r="L261" s="8"/>
      <c r="M261" s="3"/>
      <c r="N261" s="3"/>
      <c r="O261" s="3"/>
      <c r="P261" s="3"/>
      <c r="Q261" s="6"/>
      <c r="R261" s="6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spans="1:40" ht="15.75" customHeight="1" x14ac:dyDescent="0.3">
      <c r="A262" s="3"/>
      <c r="J262" s="6"/>
      <c r="K262" s="7"/>
      <c r="L262" s="8"/>
      <c r="M262" s="3"/>
      <c r="N262" s="3"/>
      <c r="O262" s="3"/>
      <c r="P262" s="3"/>
      <c r="Q262" s="6"/>
      <c r="R262" s="6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spans="1:40" ht="15.75" customHeight="1" x14ac:dyDescent="0.3">
      <c r="A263" s="3"/>
      <c r="J263" s="6"/>
      <c r="K263" s="7"/>
      <c r="L263" s="8"/>
      <c r="M263" s="3"/>
      <c r="N263" s="3"/>
      <c r="O263" s="3"/>
      <c r="P263" s="3"/>
      <c r="Q263" s="6"/>
      <c r="R263" s="6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spans="1:40" ht="15.75" customHeight="1" x14ac:dyDescent="0.3">
      <c r="A264" s="3"/>
      <c r="J264" s="6"/>
      <c r="K264" s="7"/>
      <c r="L264" s="8"/>
      <c r="M264" s="3"/>
      <c r="N264" s="3"/>
      <c r="O264" s="3"/>
      <c r="P264" s="3"/>
      <c r="Q264" s="6"/>
      <c r="R264" s="6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spans="1:40" ht="15.75" customHeight="1" x14ac:dyDescent="0.3">
      <c r="A265" s="3"/>
      <c r="J265" s="6"/>
      <c r="K265" s="7"/>
      <c r="L265" s="8"/>
      <c r="M265" s="3"/>
      <c r="N265" s="3"/>
      <c r="O265" s="3"/>
      <c r="P265" s="3"/>
      <c r="Q265" s="6"/>
      <c r="R265" s="6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spans="1:40" ht="15.75" customHeight="1" x14ac:dyDescent="0.3">
      <c r="A266" s="3"/>
      <c r="J266" s="6"/>
      <c r="K266" s="7"/>
      <c r="L266" s="8"/>
      <c r="M266" s="3"/>
      <c r="N266" s="3"/>
      <c r="O266" s="3"/>
      <c r="P266" s="3"/>
      <c r="Q266" s="6"/>
      <c r="R266" s="6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spans="1:40" ht="15.75" customHeight="1" x14ac:dyDescent="0.3">
      <c r="A267" s="3"/>
      <c r="J267" s="6"/>
      <c r="K267" s="7"/>
      <c r="L267" s="8"/>
      <c r="M267" s="3"/>
      <c r="N267" s="3"/>
      <c r="O267" s="3"/>
      <c r="P267" s="3"/>
      <c r="Q267" s="6"/>
      <c r="R267" s="6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spans="1:40" ht="15.75" customHeight="1" x14ac:dyDescent="0.3">
      <c r="A268" s="3"/>
      <c r="J268" s="6"/>
      <c r="K268" s="7"/>
      <c r="L268" s="8"/>
      <c r="M268" s="3"/>
      <c r="N268" s="3"/>
      <c r="O268" s="3"/>
      <c r="P268" s="3"/>
      <c r="Q268" s="6"/>
      <c r="R268" s="6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spans="1:40" ht="15.75" customHeight="1" x14ac:dyDescent="0.3">
      <c r="A269" s="3"/>
      <c r="J269" s="6"/>
      <c r="K269" s="7"/>
      <c r="L269" s="8"/>
      <c r="M269" s="3"/>
      <c r="N269" s="3"/>
      <c r="O269" s="3"/>
      <c r="P269" s="3"/>
      <c r="Q269" s="6"/>
      <c r="R269" s="6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spans="1:40" ht="15.75" customHeight="1" x14ac:dyDescent="0.3">
      <c r="A270" s="3"/>
      <c r="J270" s="6"/>
      <c r="K270" s="7"/>
      <c r="L270" s="8"/>
      <c r="M270" s="3"/>
      <c r="N270" s="3"/>
      <c r="O270" s="3"/>
      <c r="P270" s="3"/>
      <c r="Q270" s="6"/>
      <c r="R270" s="6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spans="1:40" ht="15.75" customHeight="1" x14ac:dyDescent="0.3">
      <c r="A271" s="3"/>
      <c r="J271" s="6"/>
      <c r="K271" s="7"/>
      <c r="L271" s="8"/>
      <c r="M271" s="3"/>
      <c r="N271" s="3"/>
      <c r="O271" s="3"/>
      <c r="P271" s="3"/>
      <c r="Q271" s="6"/>
      <c r="R271" s="6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spans="1:40" ht="15.75" customHeight="1" x14ac:dyDescent="0.3">
      <c r="A272" s="3"/>
      <c r="J272" s="6"/>
      <c r="K272" s="7"/>
      <c r="L272" s="8"/>
      <c r="M272" s="3"/>
      <c r="N272" s="3"/>
      <c r="O272" s="3"/>
      <c r="P272" s="3"/>
      <c r="Q272" s="6"/>
      <c r="R272" s="6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spans="1:40" ht="15.75" customHeight="1" x14ac:dyDescent="0.3">
      <c r="A273" s="3"/>
      <c r="J273" s="6"/>
      <c r="K273" s="7"/>
      <c r="L273" s="8"/>
      <c r="M273" s="3"/>
      <c r="N273" s="3"/>
      <c r="O273" s="3"/>
      <c r="P273" s="3"/>
      <c r="Q273" s="6"/>
      <c r="R273" s="6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spans="1:40" ht="15.75" customHeight="1" x14ac:dyDescent="0.3">
      <c r="K274" s="79"/>
      <c r="L274" s="79"/>
      <c r="M274" s="3"/>
      <c r="N274" s="3"/>
      <c r="O274" s="3"/>
      <c r="P274" s="3"/>
      <c r="Q274" s="6"/>
      <c r="R274" s="3"/>
      <c r="S274" s="3"/>
      <c r="T274" s="3"/>
      <c r="U274" s="3"/>
      <c r="V274" s="3"/>
      <c r="W274" s="3"/>
      <c r="X274" s="3"/>
      <c r="Y274" s="3"/>
      <c r="Z274" s="3"/>
    </row>
    <row r="275" spans="1:40" ht="15.75" customHeight="1" x14ac:dyDescent="0.3">
      <c r="K275" s="79"/>
      <c r="L275" s="79"/>
      <c r="M275" s="3"/>
      <c r="N275" s="3"/>
      <c r="O275" s="3"/>
      <c r="P275" s="3"/>
      <c r="Q275" s="6"/>
      <c r="R275" s="3"/>
      <c r="S275" s="3"/>
      <c r="T275" s="3"/>
      <c r="U275" s="3"/>
      <c r="V275" s="3"/>
      <c r="W275" s="3"/>
      <c r="X275" s="3"/>
      <c r="Y275" s="3"/>
      <c r="Z275" s="3"/>
    </row>
    <row r="276" spans="1:40" ht="15.75" customHeight="1" x14ac:dyDescent="0.3">
      <c r="K276" s="79"/>
      <c r="L276" s="79"/>
      <c r="M276" s="3"/>
      <c r="N276" s="3"/>
      <c r="O276" s="3"/>
      <c r="P276" s="3"/>
      <c r="Q276" s="6"/>
      <c r="R276" s="3"/>
      <c r="S276" s="3"/>
      <c r="T276" s="3"/>
      <c r="U276" s="3"/>
      <c r="V276" s="3"/>
      <c r="W276" s="3"/>
      <c r="X276" s="3"/>
      <c r="Y276" s="3"/>
      <c r="Z276" s="3"/>
    </row>
    <row r="277" spans="1:40" ht="15.75" customHeight="1" x14ac:dyDescent="0.3">
      <c r="K277" s="79"/>
      <c r="L277" s="79"/>
      <c r="M277" s="3"/>
      <c r="N277" s="3"/>
      <c r="O277" s="3"/>
      <c r="P277" s="3"/>
      <c r="Q277" s="6"/>
      <c r="R277" s="3"/>
      <c r="S277" s="3"/>
      <c r="T277" s="3"/>
      <c r="U277" s="3"/>
      <c r="V277" s="3"/>
      <c r="W277" s="3"/>
      <c r="X277" s="3"/>
      <c r="Y277" s="3"/>
      <c r="Z277" s="3"/>
    </row>
    <row r="278" spans="1:40" ht="15.75" customHeight="1" x14ac:dyDescent="0.3">
      <c r="K278" s="79"/>
      <c r="L278" s="79"/>
      <c r="M278" s="3"/>
      <c r="N278" s="3"/>
      <c r="O278" s="3"/>
      <c r="P278" s="3"/>
      <c r="Q278" s="6"/>
      <c r="R278" s="3"/>
      <c r="S278" s="3"/>
      <c r="T278" s="3"/>
      <c r="U278" s="3"/>
      <c r="V278" s="3"/>
      <c r="W278" s="3"/>
      <c r="X278" s="3"/>
      <c r="Y278" s="3"/>
      <c r="Z278" s="3"/>
    </row>
    <row r="279" spans="1:40" ht="15.75" customHeight="1" x14ac:dyDescent="0.3">
      <c r="K279" s="79"/>
      <c r="L279" s="79"/>
      <c r="M279" s="3"/>
      <c r="N279" s="3"/>
      <c r="O279" s="3"/>
      <c r="P279" s="3"/>
      <c r="Q279" s="6"/>
      <c r="R279" s="3"/>
      <c r="S279" s="3"/>
      <c r="T279" s="3"/>
      <c r="U279" s="3"/>
      <c r="V279" s="3"/>
      <c r="W279" s="3"/>
      <c r="X279" s="3"/>
      <c r="Y279" s="3"/>
      <c r="Z279" s="3"/>
    </row>
    <row r="280" spans="1:40" ht="15.75" customHeight="1" x14ac:dyDescent="0.3">
      <c r="K280" s="79"/>
      <c r="L280" s="79"/>
      <c r="M280" s="3"/>
      <c r="N280" s="3"/>
      <c r="O280" s="3"/>
      <c r="P280" s="3"/>
      <c r="Q280" s="6"/>
      <c r="R280" s="3"/>
      <c r="S280" s="3"/>
      <c r="T280" s="3"/>
      <c r="U280" s="3"/>
      <c r="V280" s="3"/>
      <c r="W280" s="3"/>
      <c r="X280" s="3"/>
      <c r="Y280" s="3"/>
      <c r="Z280" s="3"/>
    </row>
    <row r="281" spans="1:40" ht="15.75" customHeight="1" x14ac:dyDescent="0.3">
      <c r="K281" s="79"/>
      <c r="L281" s="79"/>
      <c r="M281" s="3"/>
      <c r="N281" s="3"/>
      <c r="O281" s="3"/>
      <c r="P281" s="3"/>
      <c r="Q281" s="6"/>
      <c r="R281" s="3"/>
      <c r="S281" s="3"/>
      <c r="T281" s="3"/>
      <c r="U281" s="3"/>
      <c r="V281" s="3"/>
      <c r="W281" s="3"/>
      <c r="X281" s="3"/>
      <c r="Y281" s="3"/>
      <c r="Z281" s="3"/>
    </row>
    <row r="282" spans="1:40" ht="15.75" customHeight="1" x14ac:dyDescent="0.3">
      <c r="K282" s="79"/>
      <c r="L282" s="79"/>
      <c r="M282" s="3"/>
      <c r="N282" s="3"/>
      <c r="O282" s="3"/>
      <c r="P282" s="3"/>
      <c r="Q282" s="6"/>
      <c r="R282" s="3"/>
      <c r="S282" s="3"/>
      <c r="T282" s="3"/>
      <c r="U282" s="3"/>
      <c r="V282" s="3"/>
      <c r="W282" s="3"/>
      <c r="X282" s="3"/>
      <c r="Y282" s="3"/>
      <c r="Z282" s="3"/>
    </row>
    <row r="283" spans="1:40" ht="15.75" customHeight="1" x14ac:dyDescent="0.3">
      <c r="K283" s="79"/>
      <c r="L283" s="79"/>
      <c r="M283" s="3"/>
      <c r="N283" s="3"/>
      <c r="O283" s="3"/>
      <c r="P283" s="3"/>
      <c r="Q283" s="6"/>
      <c r="R283" s="3"/>
      <c r="S283" s="3"/>
      <c r="T283" s="3"/>
      <c r="U283" s="3"/>
      <c r="V283" s="3"/>
      <c r="W283" s="3"/>
      <c r="X283" s="3"/>
      <c r="Y283" s="3"/>
      <c r="Z283" s="3"/>
    </row>
    <row r="284" spans="1:40" ht="15.75" customHeight="1" x14ac:dyDescent="0.3">
      <c r="K284" s="79"/>
      <c r="L284" s="79"/>
      <c r="M284" s="3"/>
      <c r="N284" s="3"/>
      <c r="O284" s="3"/>
      <c r="P284" s="3"/>
      <c r="Q284" s="6"/>
      <c r="R284" s="3"/>
      <c r="S284" s="3"/>
      <c r="T284" s="3"/>
      <c r="U284" s="3"/>
      <c r="V284" s="3"/>
      <c r="W284" s="3"/>
      <c r="X284" s="3"/>
      <c r="Y284" s="3"/>
      <c r="Z284" s="3"/>
    </row>
    <row r="285" spans="1:40" ht="15.75" customHeight="1" x14ac:dyDescent="0.3">
      <c r="K285" s="79"/>
      <c r="L285" s="79"/>
      <c r="M285" s="3"/>
      <c r="N285" s="3"/>
      <c r="O285" s="3"/>
      <c r="P285" s="3"/>
      <c r="Q285" s="6"/>
      <c r="R285" s="3"/>
      <c r="S285" s="3"/>
      <c r="T285" s="3"/>
      <c r="U285" s="3"/>
      <c r="V285" s="3"/>
      <c r="W285" s="3"/>
      <c r="X285" s="3"/>
      <c r="Y285" s="3"/>
      <c r="Z285" s="3"/>
    </row>
    <row r="286" spans="1:40" ht="15.75" customHeight="1" x14ac:dyDescent="0.3">
      <c r="K286" s="79"/>
      <c r="L286" s="79"/>
      <c r="M286" s="3"/>
      <c r="N286" s="3"/>
      <c r="O286" s="3"/>
      <c r="P286" s="3"/>
      <c r="Q286" s="6"/>
      <c r="R286" s="3"/>
      <c r="S286" s="3"/>
      <c r="T286" s="3"/>
      <c r="U286" s="3"/>
      <c r="V286" s="3"/>
      <c r="W286" s="3"/>
      <c r="X286" s="3"/>
      <c r="Y286" s="3"/>
      <c r="Z286" s="3"/>
    </row>
    <row r="287" spans="1:40" ht="15.75" customHeight="1" x14ac:dyDescent="0.3">
      <c r="K287" s="79"/>
      <c r="L287" s="79"/>
      <c r="M287" s="3"/>
      <c r="N287" s="3"/>
      <c r="O287" s="3"/>
      <c r="P287" s="3"/>
      <c r="Q287" s="6"/>
      <c r="R287" s="3"/>
      <c r="S287" s="3"/>
      <c r="T287" s="3"/>
      <c r="U287" s="3"/>
      <c r="V287" s="3"/>
      <c r="W287" s="3"/>
      <c r="X287" s="3"/>
      <c r="Y287" s="3"/>
      <c r="Z287" s="3"/>
    </row>
    <row r="288" spans="1:40" ht="15.75" customHeight="1" x14ac:dyDescent="0.3">
      <c r="K288" s="79"/>
      <c r="L288" s="79"/>
      <c r="M288" s="3"/>
      <c r="N288" s="3"/>
      <c r="O288" s="3"/>
      <c r="P288" s="3"/>
      <c r="Q288" s="6"/>
      <c r="R288" s="3"/>
      <c r="S288" s="3"/>
      <c r="T288" s="3"/>
      <c r="U288" s="3"/>
      <c r="V288" s="3"/>
      <c r="W288" s="3"/>
      <c r="X288" s="3"/>
      <c r="Y288" s="3"/>
      <c r="Z288" s="3"/>
    </row>
    <row r="289" spans="11:26" ht="15.75" customHeight="1" x14ac:dyDescent="0.3">
      <c r="K289" s="79"/>
      <c r="L289" s="79"/>
      <c r="M289" s="3"/>
      <c r="N289" s="3"/>
      <c r="O289" s="3"/>
      <c r="P289" s="3"/>
      <c r="Q289" s="6"/>
      <c r="R289" s="3"/>
      <c r="S289" s="3"/>
      <c r="T289" s="3"/>
      <c r="U289" s="3"/>
      <c r="V289" s="3"/>
      <c r="W289" s="3"/>
      <c r="X289" s="3"/>
      <c r="Y289" s="3"/>
      <c r="Z289" s="3"/>
    </row>
    <row r="290" spans="11:26" ht="15.75" customHeight="1" x14ac:dyDescent="0.3">
      <c r="K290" s="79"/>
      <c r="L290" s="79"/>
      <c r="M290" s="3"/>
      <c r="N290" s="3"/>
      <c r="O290" s="3"/>
      <c r="P290" s="3"/>
      <c r="Q290" s="6"/>
      <c r="R290" s="3"/>
      <c r="S290" s="3"/>
      <c r="T290" s="3"/>
      <c r="U290" s="3"/>
      <c r="V290" s="3"/>
      <c r="W290" s="3"/>
      <c r="X290" s="3"/>
      <c r="Y290" s="3"/>
      <c r="Z290" s="3"/>
    </row>
    <row r="291" spans="11:26" ht="15.75" customHeight="1" x14ac:dyDescent="0.3">
      <c r="K291" s="79"/>
      <c r="L291" s="79"/>
      <c r="M291" s="3"/>
      <c r="N291" s="3"/>
      <c r="O291" s="3"/>
      <c r="P291" s="3"/>
      <c r="Q291" s="6"/>
      <c r="R291" s="3"/>
      <c r="S291" s="3"/>
      <c r="T291" s="3"/>
      <c r="U291" s="3"/>
      <c r="V291" s="3"/>
      <c r="W291" s="3"/>
      <c r="X291" s="3"/>
      <c r="Y291" s="3"/>
      <c r="Z291" s="3"/>
    </row>
    <row r="292" spans="11:26" ht="15.75" customHeight="1" x14ac:dyDescent="0.3">
      <c r="K292" s="79"/>
      <c r="L292" s="79"/>
      <c r="M292" s="3"/>
      <c r="N292" s="3"/>
      <c r="O292" s="3"/>
      <c r="P292" s="3"/>
      <c r="Q292" s="6"/>
      <c r="R292" s="3"/>
      <c r="S292" s="3"/>
      <c r="T292" s="3"/>
      <c r="U292" s="3"/>
      <c r="V292" s="3"/>
      <c r="W292" s="3"/>
      <c r="X292" s="3"/>
      <c r="Y292" s="3"/>
      <c r="Z292" s="3"/>
    </row>
    <row r="293" spans="11:26" ht="15.75" customHeight="1" x14ac:dyDescent="0.3">
      <c r="K293" s="79"/>
      <c r="L293" s="79"/>
      <c r="M293" s="3"/>
      <c r="N293" s="3"/>
      <c r="O293" s="3"/>
      <c r="P293" s="3"/>
      <c r="Q293" s="6"/>
      <c r="R293" s="3"/>
      <c r="S293" s="3"/>
      <c r="T293" s="3"/>
      <c r="U293" s="3"/>
      <c r="V293" s="3"/>
      <c r="W293" s="3"/>
      <c r="X293" s="3"/>
      <c r="Y293" s="3"/>
      <c r="Z293" s="3"/>
    </row>
    <row r="294" spans="11:26" ht="15.75" customHeight="1" x14ac:dyDescent="0.3">
      <c r="K294" s="79"/>
      <c r="L294" s="79"/>
      <c r="M294" s="3"/>
      <c r="N294" s="3"/>
      <c r="O294" s="3"/>
      <c r="P294" s="3"/>
      <c r="Q294" s="6"/>
      <c r="R294" s="3"/>
      <c r="S294" s="3"/>
      <c r="T294" s="3"/>
      <c r="U294" s="3"/>
      <c r="V294" s="3"/>
      <c r="W294" s="3"/>
      <c r="X294" s="3"/>
      <c r="Y294" s="3"/>
      <c r="Z294" s="3"/>
    </row>
    <row r="295" spans="11:26" ht="15.75" customHeight="1" x14ac:dyDescent="0.3">
      <c r="K295" s="79"/>
      <c r="L295" s="79"/>
      <c r="M295" s="3"/>
      <c r="N295" s="3"/>
      <c r="O295" s="3"/>
      <c r="P295" s="3"/>
      <c r="Q295" s="6"/>
      <c r="R295" s="3"/>
      <c r="S295" s="3"/>
      <c r="T295" s="3"/>
      <c r="U295" s="3"/>
      <c r="V295" s="3"/>
      <c r="W295" s="3"/>
      <c r="X295" s="3"/>
      <c r="Y295" s="3"/>
      <c r="Z295" s="3"/>
    </row>
    <row r="296" spans="11:26" ht="15.75" customHeight="1" x14ac:dyDescent="0.3">
      <c r="K296" s="79"/>
      <c r="L296" s="79"/>
      <c r="M296" s="3"/>
      <c r="N296" s="3"/>
      <c r="O296" s="3"/>
      <c r="P296" s="3"/>
      <c r="Q296" s="6"/>
      <c r="R296" s="3"/>
      <c r="S296" s="3"/>
      <c r="T296" s="3"/>
      <c r="U296" s="3"/>
      <c r="V296" s="3"/>
      <c r="W296" s="3"/>
      <c r="X296" s="3"/>
      <c r="Y296" s="3"/>
      <c r="Z296" s="3"/>
    </row>
    <row r="297" spans="11:26" ht="15.75" customHeight="1" x14ac:dyDescent="0.3">
      <c r="K297" s="79"/>
      <c r="L297" s="79"/>
      <c r="M297" s="3"/>
      <c r="N297" s="3"/>
      <c r="O297" s="3"/>
      <c r="P297" s="3"/>
      <c r="Q297" s="6"/>
      <c r="R297" s="3"/>
      <c r="S297" s="3"/>
      <c r="T297" s="3"/>
      <c r="U297" s="3"/>
      <c r="V297" s="3"/>
      <c r="W297" s="3"/>
      <c r="X297" s="3"/>
      <c r="Y297" s="3"/>
      <c r="Z297" s="3"/>
    </row>
    <row r="298" spans="11:26" ht="15.75" customHeight="1" x14ac:dyDescent="0.3">
      <c r="K298" s="79"/>
      <c r="L298" s="79"/>
      <c r="M298" s="3"/>
      <c r="N298" s="3"/>
      <c r="O298" s="3"/>
      <c r="P298" s="3"/>
      <c r="Q298" s="6"/>
      <c r="R298" s="3"/>
      <c r="S298" s="3"/>
      <c r="T298" s="3"/>
      <c r="U298" s="3"/>
      <c r="V298" s="3"/>
      <c r="W298" s="3"/>
      <c r="X298" s="3"/>
      <c r="Y298" s="3"/>
      <c r="Z298" s="3"/>
    </row>
    <row r="299" spans="11:26" ht="15.75" customHeight="1" x14ac:dyDescent="0.3">
      <c r="K299" s="79"/>
      <c r="L299" s="79"/>
      <c r="M299" s="3"/>
      <c r="N299" s="3"/>
      <c r="O299" s="3"/>
      <c r="P299" s="3"/>
      <c r="Q299" s="6"/>
      <c r="R299" s="3"/>
      <c r="S299" s="3"/>
      <c r="T299" s="3"/>
      <c r="U299" s="3"/>
      <c r="V299" s="3"/>
      <c r="W299" s="3"/>
      <c r="X299" s="3"/>
      <c r="Y299" s="3"/>
      <c r="Z299" s="3"/>
    </row>
    <row r="300" spans="11:26" ht="15.75" customHeight="1" x14ac:dyDescent="0.3">
      <c r="K300" s="79"/>
      <c r="L300" s="79"/>
      <c r="M300" s="3"/>
      <c r="N300" s="3"/>
      <c r="O300" s="3"/>
      <c r="P300" s="3"/>
      <c r="Q300" s="6"/>
      <c r="R300" s="3"/>
      <c r="S300" s="3"/>
      <c r="T300" s="3"/>
      <c r="U300" s="3"/>
      <c r="V300" s="3"/>
      <c r="W300" s="3"/>
      <c r="X300" s="3"/>
      <c r="Y300" s="3"/>
      <c r="Z300" s="3"/>
    </row>
    <row r="301" spans="11:26" ht="15.75" customHeight="1" x14ac:dyDescent="0.3">
      <c r="K301" s="79"/>
      <c r="L301" s="79"/>
      <c r="M301" s="3"/>
      <c r="N301" s="3"/>
      <c r="O301" s="3"/>
      <c r="P301" s="3"/>
      <c r="Q301" s="6"/>
      <c r="R301" s="3"/>
      <c r="S301" s="3"/>
      <c r="T301" s="3"/>
      <c r="U301" s="3"/>
      <c r="V301" s="3"/>
      <c r="W301" s="3"/>
      <c r="X301" s="3"/>
      <c r="Y301" s="3"/>
      <c r="Z301" s="3"/>
    </row>
    <row r="302" spans="11:26" ht="15.75" customHeight="1" x14ac:dyDescent="0.3">
      <c r="K302" s="79"/>
      <c r="L302" s="79"/>
      <c r="M302" s="3"/>
      <c r="N302" s="3"/>
      <c r="O302" s="3"/>
      <c r="P302" s="3"/>
      <c r="Q302" s="6"/>
      <c r="R302" s="3"/>
      <c r="S302" s="3"/>
      <c r="T302" s="3"/>
      <c r="U302" s="3"/>
      <c r="V302" s="3"/>
      <c r="W302" s="3"/>
      <c r="X302" s="3"/>
      <c r="Y302" s="3"/>
      <c r="Z302" s="3"/>
    </row>
    <row r="303" spans="11:26" ht="15.75" customHeight="1" x14ac:dyDescent="0.3">
      <c r="K303" s="79"/>
      <c r="L303" s="79"/>
      <c r="M303" s="3"/>
      <c r="N303" s="3"/>
      <c r="O303" s="3"/>
      <c r="P303" s="3"/>
      <c r="Q303" s="6"/>
      <c r="R303" s="3"/>
      <c r="S303" s="3"/>
      <c r="T303" s="3"/>
      <c r="U303" s="3"/>
      <c r="V303" s="3"/>
      <c r="W303" s="3"/>
      <c r="X303" s="3"/>
      <c r="Y303" s="3"/>
      <c r="Z303" s="3"/>
    </row>
    <row r="304" spans="11:26" ht="15.75" customHeight="1" x14ac:dyDescent="0.3">
      <c r="K304" s="79"/>
      <c r="L304" s="79"/>
      <c r="M304" s="3"/>
      <c r="N304" s="3"/>
      <c r="O304" s="3"/>
      <c r="P304" s="3"/>
      <c r="Q304" s="6"/>
      <c r="R304" s="3"/>
      <c r="S304" s="3"/>
      <c r="T304" s="3"/>
      <c r="U304" s="3"/>
      <c r="V304" s="3"/>
      <c r="W304" s="3"/>
      <c r="X304" s="3"/>
      <c r="Y304" s="3"/>
      <c r="Z304" s="3"/>
    </row>
    <row r="305" spans="11:26" ht="15.75" customHeight="1" x14ac:dyDescent="0.3">
      <c r="K305" s="79"/>
      <c r="L305" s="79"/>
      <c r="M305" s="3"/>
      <c r="N305" s="3"/>
      <c r="O305" s="3"/>
      <c r="P305" s="3"/>
      <c r="Q305" s="6"/>
      <c r="R305" s="3"/>
      <c r="S305" s="3"/>
      <c r="T305" s="3"/>
      <c r="U305" s="3"/>
      <c r="V305" s="3"/>
      <c r="W305" s="3"/>
      <c r="X305" s="3"/>
      <c r="Y305" s="3"/>
      <c r="Z305" s="3"/>
    </row>
    <row r="306" spans="11:26" ht="15.75" customHeight="1" x14ac:dyDescent="0.3">
      <c r="K306" s="79"/>
      <c r="L306" s="79"/>
      <c r="M306" s="3"/>
      <c r="N306" s="3"/>
      <c r="O306" s="3"/>
      <c r="P306" s="3"/>
      <c r="Q306" s="6"/>
      <c r="R306" s="3"/>
      <c r="S306" s="3"/>
      <c r="T306" s="3"/>
      <c r="U306" s="3"/>
      <c r="V306" s="3"/>
      <c r="W306" s="3"/>
      <c r="X306" s="3"/>
      <c r="Y306" s="3"/>
      <c r="Z306" s="3"/>
    </row>
    <row r="307" spans="11:26" ht="15.75" customHeight="1" x14ac:dyDescent="0.3">
      <c r="K307" s="79"/>
      <c r="L307" s="79"/>
      <c r="M307" s="3"/>
      <c r="N307" s="3"/>
      <c r="O307" s="3"/>
      <c r="P307" s="3"/>
      <c r="Q307" s="6"/>
      <c r="R307" s="3"/>
      <c r="S307" s="3"/>
      <c r="T307" s="3"/>
      <c r="U307" s="3"/>
      <c r="V307" s="3"/>
      <c r="W307" s="3"/>
      <c r="X307" s="3"/>
      <c r="Y307" s="3"/>
      <c r="Z307" s="3"/>
    </row>
    <row r="308" spans="11:26" ht="15.75" customHeight="1" x14ac:dyDescent="0.3">
      <c r="K308" s="79"/>
      <c r="L308" s="79"/>
      <c r="M308" s="3"/>
      <c r="N308" s="3"/>
      <c r="O308" s="3"/>
      <c r="P308" s="3"/>
      <c r="Q308" s="6"/>
      <c r="R308" s="3"/>
      <c r="S308" s="3"/>
      <c r="T308" s="3"/>
      <c r="U308" s="3"/>
      <c r="V308" s="3"/>
      <c r="W308" s="3"/>
      <c r="X308" s="3"/>
      <c r="Y308" s="3"/>
      <c r="Z308" s="3"/>
    </row>
    <row r="309" spans="11:26" ht="15.75" customHeight="1" x14ac:dyDescent="0.3">
      <c r="K309" s="79"/>
      <c r="L309" s="79"/>
      <c r="M309" s="3"/>
      <c r="N309" s="3"/>
      <c r="O309" s="3"/>
      <c r="P309" s="3"/>
      <c r="Q309" s="6"/>
      <c r="R309" s="3"/>
      <c r="S309" s="3"/>
      <c r="T309" s="3"/>
      <c r="U309" s="3"/>
      <c r="V309" s="3"/>
      <c r="W309" s="3"/>
      <c r="X309" s="3"/>
      <c r="Y309" s="3"/>
      <c r="Z309" s="3"/>
    </row>
    <row r="310" spans="11:26" ht="15.75" customHeight="1" x14ac:dyDescent="0.3">
      <c r="K310" s="79"/>
      <c r="L310" s="79"/>
      <c r="M310" s="3"/>
      <c r="N310" s="3"/>
      <c r="O310" s="3"/>
      <c r="P310" s="3"/>
      <c r="Q310" s="6"/>
      <c r="R310" s="3"/>
      <c r="S310" s="3"/>
      <c r="T310" s="3"/>
      <c r="U310" s="3"/>
      <c r="V310" s="3"/>
      <c r="W310" s="3"/>
      <c r="X310" s="3"/>
      <c r="Y310" s="3"/>
      <c r="Z310" s="3"/>
    </row>
    <row r="311" spans="11:26" ht="15.75" customHeight="1" x14ac:dyDescent="0.3">
      <c r="K311" s="79"/>
      <c r="L311" s="79"/>
      <c r="M311" s="3"/>
      <c r="N311" s="3"/>
      <c r="O311" s="3"/>
      <c r="P311" s="3"/>
      <c r="Q311" s="6"/>
      <c r="R311" s="3"/>
      <c r="S311" s="3"/>
      <c r="T311" s="3"/>
      <c r="U311" s="3"/>
      <c r="V311" s="3"/>
      <c r="W311" s="3"/>
      <c r="X311" s="3"/>
      <c r="Y311" s="3"/>
      <c r="Z311" s="3"/>
    </row>
    <row r="312" spans="11:26" ht="15.75" customHeight="1" x14ac:dyDescent="0.3">
      <c r="K312" s="79"/>
      <c r="L312" s="79"/>
      <c r="M312" s="3"/>
      <c r="N312" s="3"/>
      <c r="O312" s="3"/>
      <c r="P312" s="3"/>
      <c r="Q312" s="6"/>
      <c r="R312" s="3"/>
      <c r="S312" s="3"/>
      <c r="T312" s="3"/>
      <c r="U312" s="3"/>
      <c r="V312" s="3"/>
      <c r="W312" s="3"/>
      <c r="X312" s="3"/>
      <c r="Y312" s="3"/>
      <c r="Z312" s="3"/>
    </row>
    <row r="313" spans="11:26" ht="15.75" customHeight="1" x14ac:dyDescent="0.3">
      <c r="K313" s="79"/>
      <c r="L313" s="79"/>
      <c r="M313" s="3"/>
      <c r="N313" s="3"/>
      <c r="O313" s="3"/>
      <c r="P313" s="3"/>
      <c r="Q313" s="6"/>
      <c r="R313" s="3"/>
      <c r="S313" s="3"/>
      <c r="T313" s="3"/>
      <c r="U313" s="3"/>
      <c r="V313" s="3"/>
      <c r="W313" s="3"/>
      <c r="X313" s="3"/>
      <c r="Y313" s="3"/>
      <c r="Z313" s="3"/>
    </row>
    <row r="314" spans="11:26" ht="15.75" customHeight="1" x14ac:dyDescent="0.3">
      <c r="K314" s="79"/>
      <c r="L314" s="79"/>
      <c r="M314" s="3"/>
      <c r="N314" s="3"/>
      <c r="O314" s="3"/>
      <c r="P314" s="3"/>
      <c r="Q314" s="6"/>
      <c r="R314" s="3"/>
      <c r="S314" s="3"/>
      <c r="T314" s="3"/>
      <c r="U314" s="3"/>
      <c r="V314" s="3"/>
      <c r="W314" s="3"/>
      <c r="X314" s="3"/>
      <c r="Y314" s="3"/>
      <c r="Z314" s="3"/>
    </row>
    <row r="315" spans="11:26" ht="15.75" customHeight="1" x14ac:dyDescent="0.3">
      <c r="K315" s="79"/>
      <c r="L315" s="79"/>
      <c r="M315" s="3"/>
      <c r="N315" s="3"/>
      <c r="O315" s="3"/>
      <c r="P315" s="3"/>
      <c r="Q315" s="6"/>
      <c r="R315" s="3"/>
      <c r="S315" s="3"/>
      <c r="T315" s="3"/>
      <c r="U315" s="3"/>
      <c r="V315" s="3"/>
      <c r="W315" s="3"/>
      <c r="X315" s="3"/>
      <c r="Y315" s="3"/>
      <c r="Z315" s="3"/>
    </row>
    <row r="316" spans="11:26" ht="15.75" customHeight="1" x14ac:dyDescent="0.3">
      <c r="K316" s="79"/>
      <c r="L316" s="79"/>
      <c r="M316" s="3"/>
      <c r="N316" s="3"/>
      <c r="O316" s="3"/>
      <c r="P316" s="3"/>
      <c r="Q316" s="6"/>
      <c r="R316" s="3"/>
      <c r="S316" s="3"/>
      <c r="T316" s="3"/>
      <c r="U316" s="3"/>
      <c r="V316" s="3"/>
      <c r="W316" s="3"/>
      <c r="X316" s="3"/>
      <c r="Y316" s="3"/>
      <c r="Z316" s="3"/>
    </row>
    <row r="317" spans="11:26" ht="15.75" customHeight="1" x14ac:dyDescent="0.3">
      <c r="K317" s="79"/>
      <c r="L317" s="79"/>
      <c r="M317" s="3"/>
      <c r="N317" s="3"/>
      <c r="O317" s="3"/>
      <c r="P317" s="3"/>
      <c r="Q317" s="6"/>
      <c r="R317" s="3"/>
      <c r="S317" s="3"/>
      <c r="T317" s="3"/>
      <c r="U317" s="3"/>
      <c r="V317" s="3"/>
      <c r="W317" s="3"/>
      <c r="X317" s="3"/>
      <c r="Y317" s="3"/>
      <c r="Z317" s="3"/>
    </row>
    <row r="318" spans="11:26" ht="15.75" customHeight="1" x14ac:dyDescent="0.3">
      <c r="K318" s="79"/>
      <c r="L318" s="79"/>
      <c r="M318" s="3"/>
      <c r="N318" s="3"/>
      <c r="O318" s="3"/>
      <c r="P318" s="3"/>
      <c r="Q318" s="6"/>
      <c r="R318" s="3"/>
      <c r="S318" s="3"/>
      <c r="T318" s="3"/>
      <c r="U318" s="3"/>
      <c r="V318" s="3"/>
      <c r="W318" s="3"/>
      <c r="X318" s="3"/>
      <c r="Y318" s="3"/>
      <c r="Z318" s="3"/>
    </row>
    <row r="319" spans="11:26" ht="15.75" customHeight="1" x14ac:dyDescent="0.3">
      <c r="K319" s="79"/>
      <c r="L319" s="79"/>
      <c r="M319" s="3"/>
      <c r="N319" s="3"/>
      <c r="O319" s="3"/>
      <c r="P319" s="3"/>
      <c r="Q319" s="6"/>
      <c r="R319" s="3"/>
      <c r="S319" s="3"/>
      <c r="T319" s="3"/>
      <c r="U319" s="3"/>
      <c r="V319" s="3"/>
      <c r="W319" s="3"/>
      <c r="X319" s="3"/>
      <c r="Y319" s="3"/>
      <c r="Z319" s="3"/>
    </row>
    <row r="320" spans="11:26" ht="15.75" customHeight="1" x14ac:dyDescent="0.3">
      <c r="K320" s="79"/>
      <c r="L320" s="79"/>
      <c r="M320" s="3"/>
      <c r="N320" s="3"/>
      <c r="O320" s="3"/>
      <c r="P320" s="3"/>
      <c r="Q320" s="6"/>
      <c r="R320" s="3"/>
      <c r="S320" s="3"/>
      <c r="T320" s="3"/>
      <c r="U320" s="3"/>
      <c r="V320" s="3"/>
      <c r="W320" s="3"/>
      <c r="X320" s="3"/>
      <c r="Y320" s="3"/>
      <c r="Z320" s="3"/>
    </row>
    <row r="321" spans="11:26" ht="15.75" customHeight="1" x14ac:dyDescent="0.3">
      <c r="K321" s="79"/>
      <c r="L321" s="79"/>
      <c r="M321" s="3"/>
      <c r="N321" s="3"/>
      <c r="O321" s="3"/>
      <c r="P321" s="3"/>
      <c r="Q321" s="6"/>
      <c r="R321" s="3"/>
      <c r="S321" s="3"/>
      <c r="T321" s="3"/>
      <c r="U321" s="3"/>
      <c r="V321" s="3"/>
      <c r="W321" s="3"/>
      <c r="X321" s="3"/>
      <c r="Y321" s="3"/>
      <c r="Z321" s="3"/>
    </row>
    <row r="322" spans="11:26" ht="15.75" customHeight="1" x14ac:dyDescent="0.3">
      <c r="K322" s="79"/>
      <c r="L322" s="79"/>
      <c r="M322" s="3"/>
      <c r="N322" s="3"/>
      <c r="O322" s="3"/>
      <c r="P322" s="3"/>
      <c r="Q322" s="6"/>
      <c r="R322" s="3"/>
      <c r="S322" s="3"/>
      <c r="T322" s="3"/>
      <c r="U322" s="3"/>
      <c r="V322" s="3"/>
      <c r="W322" s="3"/>
      <c r="X322" s="3"/>
      <c r="Y322" s="3"/>
      <c r="Z322" s="3"/>
    </row>
    <row r="323" spans="11:26" ht="15.75" customHeight="1" x14ac:dyDescent="0.3">
      <c r="K323" s="79"/>
      <c r="L323" s="79"/>
      <c r="M323" s="3"/>
      <c r="N323" s="3"/>
      <c r="O323" s="3"/>
      <c r="P323" s="3"/>
      <c r="Q323" s="6"/>
      <c r="R323" s="3"/>
      <c r="S323" s="3"/>
      <c r="T323" s="3"/>
      <c r="U323" s="3"/>
      <c r="V323" s="3"/>
      <c r="W323" s="3"/>
      <c r="X323" s="3"/>
      <c r="Y323" s="3"/>
      <c r="Z323" s="3"/>
    </row>
    <row r="324" spans="11:26" ht="15.75" customHeight="1" x14ac:dyDescent="0.3">
      <c r="K324" s="79"/>
      <c r="L324" s="79"/>
      <c r="M324" s="3"/>
      <c r="N324" s="3"/>
      <c r="O324" s="3"/>
      <c r="P324" s="3"/>
      <c r="Q324" s="6"/>
      <c r="R324" s="3"/>
      <c r="S324" s="3"/>
      <c r="T324" s="3"/>
      <c r="U324" s="3"/>
      <c r="V324" s="3"/>
      <c r="W324" s="3"/>
      <c r="X324" s="3"/>
      <c r="Y324" s="3"/>
      <c r="Z324" s="3"/>
    </row>
    <row r="325" spans="11:26" ht="15.75" customHeight="1" x14ac:dyDescent="0.3">
      <c r="K325" s="79"/>
      <c r="L325" s="79"/>
      <c r="M325" s="3"/>
      <c r="N325" s="3"/>
      <c r="O325" s="3"/>
      <c r="P325" s="3"/>
      <c r="Q325" s="6"/>
      <c r="R325" s="3"/>
      <c r="S325" s="3"/>
      <c r="T325" s="3"/>
      <c r="U325" s="3"/>
      <c r="V325" s="3"/>
      <c r="W325" s="3"/>
      <c r="X325" s="3"/>
      <c r="Y325" s="3"/>
      <c r="Z325" s="3"/>
    </row>
    <row r="326" spans="11:26" ht="15.75" customHeight="1" x14ac:dyDescent="0.3">
      <c r="K326" s="79"/>
      <c r="L326" s="79"/>
      <c r="M326" s="3"/>
      <c r="N326" s="3"/>
      <c r="O326" s="3"/>
      <c r="P326" s="3"/>
      <c r="Q326" s="6"/>
      <c r="R326" s="3"/>
      <c r="S326" s="3"/>
      <c r="T326" s="3"/>
      <c r="U326" s="3"/>
      <c r="V326" s="3"/>
      <c r="W326" s="3"/>
      <c r="X326" s="3"/>
      <c r="Y326" s="3"/>
      <c r="Z326" s="3"/>
    </row>
    <row r="327" spans="11:26" ht="15.75" customHeight="1" x14ac:dyDescent="0.3">
      <c r="K327" s="79"/>
      <c r="L327" s="79"/>
      <c r="M327" s="3"/>
      <c r="N327" s="3"/>
      <c r="O327" s="3"/>
      <c r="P327" s="3"/>
      <c r="Q327" s="6"/>
      <c r="R327" s="3"/>
      <c r="S327" s="3"/>
      <c r="T327" s="3"/>
      <c r="U327" s="3"/>
      <c r="V327" s="3"/>
      <c r="W327" s="3"/>
      <c r="X327" s="3"/>
      <c r="Y327" s="3"/>
      <c r="Z327" s="3"/>
    </row>
    <row r="328" spans="11:26" ht="15.75" customHeight="1" x14ac:dyDescent="0.3">
      <c r="K328" s="79"/>
      <c r="L328" s="79"/>
      <c r="M328" s="3"/>
      <c r="N328" s="3"/>
      <c r="O328" s="3"/>
      <c r="P328" s="3"/>
      <c r="Q328" s="6"/>
      <c r="R328" s="3"/>
      <c r="S328" s="3"/>
      <c r="T328" s="3"/>
      <c r="U328" s="3"/>
      <c r="V328" s="3"/>
      <c r="W328" s="3"/>
      <c r="X328" s="3"/>
      <c r="Y328" s="3"/>
      <c r="Z328" s="3"/>
    </row>
    <row r="329" spans="11:26" ht="15.75" customHeight="1" x14ac:dyDescent="0.3">
      <c r="K329" s="79"/>
      <c r="L329" s="79"/>
      <c r="M329" s="3"/>
      <c r="N329" s="3"/>
      <c r="O329" s="3"/>
      <c r="P329" s="3"/>
      <c r="Q329" s="6"/>
      <c r="R329" s="3"/>
      <c r="S329" s="3"/>
      <c r="T329" s="3"/>
      <c r="U329" s="3"/>
      <c r="V329" s="3"/>
      <c r="W329" s="3"/>
      <c r="X329" s="3"/>
      <c r="Y329" s="3"/>
      <c r="Z329" s="3"/>
    </row>
    <row r="330" spans="11:26" ht="15.75" customHeight="1" x14ac:dyDescent="0.3">
      <c r="K330" s="79"/>
      <c r="L330" s="79"/>
      <c r="M330" s="3"/>
      <c r="N330" s="3"/>
      <c r="O330" s="3"/>
      <c r="P330" s="3"/>
      <c r="Q330" s="6"/>
      <c r="R330" s="3"/>
      <c r="S330" s="3"/>
      <c r="T330" s="3"/>
      <c r="U330" s="3"/>
      <c r="V330" s="3"/>
      <c r="W330" s="3"/>
      <c r="X330" s="3"/>
      <c r="Y330" s="3"/>
      <c r="Z330" s="3"/>
    </row>
    <row r="331" spans="11:26" ht="15.75" customHeight="1" x14ac:dyDescent="0.3">
      <c r="K331" s="79"/>
      <c r="L331" s="79"/>
      <c r="M331" s="3"/>
      <c r="N331" s="3"/>
      <c r="O331" s="3"/>
      <c r="P331" s="3"/>
      <c r="Q331" s="6"/>
      <c r="R331" s="3"/>
      <c r="S331" s="3"/>
      <c r="T331" s="3"/>
      <c r="U331" s="3"/>
      <c r="V331" s="3"/>
      <c r="W331" s="3"/>
      <c r="X331" s="3"/>
      <c r="Y331" s="3"/>
      <c r="Z331" s="3"/>
    </row>
    <row r="332" spans="11:26" ht="15.75" customHeight="1" x14ac:dyDescent="0.3">
      <c r="K332" s="79"/>
      <c r="L332" s="79"/>
      <c r="M332" s="3"/>
      <c r="N332" s="3"/>
      <c r="O332" s="3"/>
      <c r="P332" s="3"/>
      <c r="Q332" s="6"/>
      <c r="R332" s="3"/>
      <c r="S332" s="3"/>
      <c r="T332" s="3"/>
      <c r="U332" s="3"/>
      <c r="V332" s="3"/>
      <c r="W332" s="3"/>
      <c r="X332" s="3"/>
      <c r="Y332" s="3"/>
      <c r="Z332" s="3"/>
    </row>
    <row r="333" spans="11:26" ht="15.75" customHeight="1" x14ac:dyDescent="0.3">
      <c r="K333" s="79"/>
      <c r="L333" s="79"/>
      <c r="M333" s="3"/>
      <c r="N333" s="3"/>
      <c r="O333" s="3"/>
      <c r="P333" s="3"/>
      <c r="Q333" s="6"/>
      <c r="R333" s="3"/>
      <c r="S333" s="3"/>
      <c r="T333" s="3"/>
      <c r="U333" s="3"/>
      <c r="V333" s="3"/>
      <c r="W333" s="3"/>
      <c r="X333" s="3"/>
      <c r="Y333" s="3"/>
      <c r="Z333" s="3"/>
    </row>
    <row r="334" spans="11:26" ht="15.75" customHeight="1" x14ac:dyDescent="0.3">
      <c r="K334" s="79"/>
      <c r="L334" s="79"/>
      <c r="M334" s="3"/>
      <c r="N334" s="3"/>
      <c r="O334" s="3"/>
      <c r="P334" s="3"/>
      <c r="Q334" s="6"/>
      <c r="R334" s="3"/>
      <c r="S334" s="3"/>
      <c r="T334" s="3"/>
      <c r="U334" s="3"/>
      <c r="V334" s="3"/>
      <c r="W334" s="3"/>
      <c r="X334" s="3"/>
      <c r="Y334" s="3"/>
      <c r="Z334" s="3"/>
    </row>
    <row r="335" spans="11:26" ht="15.75" customHeight="1" x14ac:dyDescent="0.3">
      <c r="K335" s="79"/>
      <c r="L335" s="79"/>
      <c r="M335" s="3"/>
      <c r="N335" s="3"/>
      <c r="O335" s="3"/>
      <c r="P335" s="3"/>
      <c r="Q335" s="6"/>
      <c r="R335" s="3"/>
      <c r="S335" s="3"/>
      <c r="T335" s="3"/>
      <c r="U335" s="3"/>
      <c r="V335" s="3"/>
      <c r="W335" s="3"/>
      <c r="X335" s="3"/>
      <c r="Y335" s="3"/>
      <c r="Z335" s="3"/>
    </row>
    <row r="336" spans="11:26" ht="15.75" customHeight="1" x14ac:dyDescent="0.3">
      <c r="K336" s="79"/>
      <c r="L336" s="79"/>
      <c r="M336" s="3"/>
      <c r="N336" s="3"/>
      <c r="O336" s="3"/>
      <c r="P336" s="3"/>
      <c r="Q336" s="6"/>
      <c r="R336" s="3"/>
      <c r="S336" s="3"/>
      <c r="T336" s="3"/>
      <c r="U336" s="3"/>
      <c r="V336" s="3"/>
      <c r="W336" s="3"/>
      <c r="X336" s="3"/>
      <c r="Y336" s="3"/>
      <c r="Z336" s="3"/>
    </row>
    <row r="337" spans="11:26" ht="15.75" customHeight="1" x14ac:dyDescent="0.3">
      <c r="K337" s="79"/>
      <c r="L337" s="79"/>
      <c r="M337" s="3"/>
      <c r="N337" s="3"/>
      <c r="O337" s="3"/>
      <c r="P337" s="3"/>
      <c r="Q337" s="6"/>
      <c r="R337" s="3"/>
      <c r="S337" s="3"/>
      <c r="T337" s="3"/>
      <c r="U337" s="3"/>
      <c r="V337" s="3"/>
      <c r="W337" s="3"/>
      <c r="X337" s="3"/>
      <c r="Y337" s="3"/>
      <c r="Z337" s="3"/>
    </row>
    <row r="338" spans="11:26" ht="15.75" customHeight="1" x14ac:dyDescent="0.3">
      <c r="K338" s="79"/>
      <c r="L338" s="79"/>
      <c r="M338" s="3"/>
      <c r="N338" s="3"/>
      <c r="O338" s="3"/>
      <c r="P338" s="3"/>
      <c r="Q338" s="6"/>
      <c r="R338" s="3"/>
      <c r="S338" s="3"/>
      <c r="T338" s="3"/>
      <c r="U338" s="3"/>
      <c r="V338" s="3"/>
      <c r="W338" s="3"/>
      <c r="X338" s="3"/>
      <c r="Y338" s="3"/>
      <c r="Z338" s="3"/>
    </row>
    <row r="339" spans="11:26" ht="15.75" customHeight="1" x14ac:dyDescent="0.3">
      <c r="K339" s="79"/>
      <c r="L339" s="79"/>
      <c r="M339" s="3"/>
      <c r="N339" s="3"/>
      <c r="O339" s="3"/>
      <c r="P339" s="3"/>
      <c r="Q339" s="6"/>
      <c r="R339" s="3"/>
      <c r="S339" s="3"/>
      <c r="T339" s="3"/>
      <c r="U339" s="3"/>
      <c r="V339" s="3"/>
      <c r="W339" s="3"/>
      <c r="X339" s="3"/>
      <c r="Y339" s="3"/>
      <c r="Z339" s="3"/>
    </row>
    <row r="340" spans="11:26" ht="15.75" customHeight="1" x14ac:dyDescent="0.3">
      <c r="K340" s="79"/>
      <c r="L340" s="79"/>
      <c r="M340" s="3"/>
      <c r="N340" s="3"/>
      <c r="O340" s="3"/>
      <c r="P340" s="3"/>
      <c r="Q340" s="6"/>
      <c r="R340" s="3"/>
      <c r="S340" s="3"/>
      <c r="T340" s="3"/>
      <c r="U340" s="3"/>
      <c r="V340" s="3"/>
      <c r="W340" s="3"/>
      <c r="X340" s="3"/>
      <c r="Y340" s="3"/>
      <c r="Z340" s="3"/>
    </row>
    <row r="341" spans="11:26" ht="15.75" customHeight="1" x14ac:dyDescent="0.3">
      <c r="K341" s="79"/>
      <c r="L341" s="79"/>
      <c r="M341" s="3"/>
      <c r="N341" s="3"/>
      <c r="O341" s="3"/>
      <c r="P341" s="3"/>
      <c r="Q341" s="6"/>
      <c r="R341" s="3"/>
      <c r="S341" s="3"/>
      <c r="T341" s="3"/>
      <c r="U341" s="3"/>
      <c r="V341" s="3"/>
      <c r="W341" s="3"/>
      <c r="X341" s="3"/>
      <c r="Y341" s="3"/>
      <c r="Z341" s="3"/>
    </row>
    <row r="342" spans="11:26" ht="15.75" customHeight="1" x14ac:dyDescent="0.3">
      <c r="K342" s="79"/>
      <c r="L342" s="79"/>
      <c r="M342" s="3"/>
      <c r="N342" s="3"/>
      <c r="O342" s="3"/>
      <c r="P342" s="3"/>
      <c r="Q342" s="6"/>
      <c r="R342" s="3"/>
      <c r="S342" s="3"/>
      <c r="T342" s="3"/>
      <c r="U342" s="3"/>
      <c r="V342" s="3"/>
      <c r="W342" s="3"/>
      <c r="X342" s="3"/>
      <c r="Y342" s="3"/>
      <c r="Z342" s="3"/>
    </row>
    <row r="343" spans="11:26" ht="15.75" customHeight="1" x14ac:dyDescent="0.3">
      <c r="K343" s="79"/>
      <c r="L343" s="79"/>
      <c r="M343" s="3"/>
      <c r="N343" s="3"/>
      <c r="O343" s="3"/>
      <c r="P343" s="3"/>
      <c r="Q343" s="6"/>
      <c r="R343" s="3"/>
      <c r="S343" s="3"/>
      <c r="T343" s="3"/>
      <c r="U343" s="3"/>
      <c r="V343" s="3"/>
      <c r="W343" s="3"/>
      <c r="X343" s="3"/>
      <c r="Y343" s="3"/>
      <c r="Z343" s="3"/>
    </row>
    <row r="344" spans="11:26" ht="15.75" customHeight="1" x14ac:dyDescent="0.3">
      <c r="K344" s="79"/>
      <c r="L344" s="79"/>
      <c r="M344" s="3"/>
      <c r="N344" s="3"/>
      <c r="O344" s="3"/>
      <c r="P344" s="3"/>
      <c r="Q344" s="6"/>
      <c r="R344" s="3"/>
      <c r="S344" s="3"/>
      <c r="T344" s="3"/>
      <c r="U344" s="3"/>
      <c r="V344" s="3"/>
      <c r="W344" s="3"/>
      <c r="X344" s="3"/>
      <c r="Y344" s="3"/>
      <c r="Z344" s="3"/>
    </row>
    <row r="345" spans="11:26" ht="15.75" customHeight="1" x14ac:dyDescent="0.3">
      <c r="K345" s="79"/>
      <c r="L345" s="79"/>
      <c r="M345" s="3"/>
      <c r="N345" s="3"/>
      <c r="O345" s="3"/>
      <c r="P345" s="3"/>
      <c r="Q345" s="6"/>
      <c r="R345" s="3"/>
      <c r="S345" s="3"/>
      <c r="T345" s="3"/>
      <c r="U345" s="3"/>
      <c r="V345" s="3"/>
      <c r="W345" s="3"/>
      <c r="X345" s="3"/>
      <c r="Y345" s="3"/>
      <c r="Z345" s="3"/>
    </row>
    <row r="346" spans="11:26" ht="15.75" customHeight="1" x14ac:dyDescent="0.3">
      <c r="K346" s="79"/>
      <c r="L346" s="79"/>
      <c r="M346" s="3"/>
      <c r="N346" s="3"/>
      <c r="O346" s="3"/>
      <c r="P346" s="3"/>
      <c r="Q346" s="6"/>
      <c r="R346" s="3"/>
      <c r="S346" s="3"/>
      <c r="T346" s="3"/>
      <c r="U346" s="3"/>
      <c r="V346" s="3"/>
      <c r="W346" s="3"/>
      <c r="X346" s="3"/>
      <c r="Y346" s="3"/>
      <c r="Z346" s="3"/>
    </row>
    <row r="347" spans="11:26" ht="15.75" customHeight="1" x14ac:dyDescent="0.3">
      <c r="K347" s="79"/>
      <c r="L347" s="79"/>
      <c r="M347" s="3"/>
      <c r="N347" s="3"/>
      <c r="O347" s="3"/>
      <c r="P347" s="3"/>
      <c r="Q347" s="6"/>
      <c r="R347" s="3"/>
      <c r="S347" s="3"/>
      <c r="T347" s="3"/>
      <c r="U347" s="3"/>
      <c r="V347" s="3"/>
      <c r="W347" s="3"/>
      <c r="X347" s="3"/>
      <c r="Y347" s="3"/>
      <c r="Z347" s="3"/>
    </row>
    <row r="348" spans="11:26" ht="15.75" customHeight="1" x14ac:dyDescent="0.3">
      <c r="K348" s="79"/>
      <c r="L348" s="79"/>
      <c r="M348" s="3"/>
      <c r="N348" s="3"/>
      <c r="O348" s="3"/>
      <c r="P348" s="3"/>
      <c r="Q348" s="6"/>
      <c r="R348" s="3"/>
      <c r="S348" s="3"/>
      <c r="T348" s="3"/>
      <c r="U348" s="3"/>
      <c r="V348" s="3"/>
      <c r="W348" s="3"/>
      <c r="X348" s="3"/>
      <c r="Y348" s="3"/>
      <c r="Z348" s="3"/>
    </row>
    <row r="349" spans="11:26" ht="15.75" customHeight="1" x14ac:dyDescent="0.3">
      <c r="K349" s="79"/>
      <c r="L349" s="79"/>
      <c r="M349" s="3"/>
      <c r="N349" s="3"/>
      <c r="O349" s="3"/>
      <c r="P349" s="3"/>
      <c r="Q349" s="6"/>
      <c r="R349" s="3"/>
      <c r="S349" s="3"/>
      <c r="T349" s="3"/>
      <c r="U349" s="3"/>
      <c r="V349" s="3"/>
      <c r="W349" s="3"/>
      <c r="X349" s="3"/>
      <c r="Y349" s="3"/>
      <c r="Z349" s="3"/>
    </row>
    <row r="350" spans="11:26" ht="15.75" customHeight="1" x14ac:dyDescent="0.3">
      <c r="K350" s="79"/>
      <c r="L350" s="79"/>
      <c r="M350" s="3"/>
      <c r="N350" s="3"/>
      <c r="O350" s="3"/>
      <c r="P350" s="3"/>
      <c r="Q350" s="6"/>
      <c r="R350" s="3"/>
      <c r="S350" s="3"/>
      <c r="T350" s="3"/>
      <c r="U350" s="3"/>
      <c r="V350" s="3"/>
      <c r="W350" s="3"/>
      <c r="X350" s="3"/>
      <c r="Y350" s="3"/>
      <c r="Z350" s="3"/>
    </row>
    <row r="351" spans="11:26" ht="15.75" customHeight="1" x14ac:dyDescent="0.3">
      <c r="K351" s="79"/>
      <c r="L351" s="79"/>
      <c r="M351" s="3"/>
      <c r="N351" s="3"/>
      <c r="O351" s="3"/>
      <c r="P351" s="3"/>
      <c r="Q351" s="6"/>
      <c r="R351" s="3"/>
      <c r="S351" s="3"/>
      <c r="T351" s="3"/>
      <c r="U351" s="3"/>
      <c r="V351" s="3"/>
      <c r="W351" s="3"/>
      <c r="X351" s="3"/>
      <c r="Y351" s="3"/>
      <c r="Z351" s="3"/>
    </row>
    <row r="352" spans="11:26" ht="15.75" customHeight="1" x14ac:dyDescent="0.3">
      <c r="K352" s="79"/>
      <c r="L352" s="79"/>
      <c r="M352" s="3"/>
      <c r="N352" s="3"/>
      <c r="O352" s="3"/>
      <c r="P352" s="3"/>
      <c r="Q352" s="6"/>
      <c r="R352" s="3"/>
      <c r="S352" s="3"/>
      <c r="T352" s="3"/>
      <c r="U352" s="3"/>
      <c r="V352" s="3"/>
      <c r="W352" s="3"/>
      <c r="X352" s="3"/>
      <c r="Y352" s="3"/>
      <c r="Z352" s="3"/>
    </row>
    <row r="353" spans="11:26" ht="15.75" customHeight="1" x14ac:dyDescent="0.3">
      <c r="K353" s="79"/>
      <c r="L353" s="79"/>
      <c r="M353" s="3"/>
      <c r="N353" s="3"/>
      <c r="O353" s="3"/>
      <c r="P353" s="3"/>
      <c r="Q353" s="6"/>
      <c r="R353" s="3"/>
      <c r="S353" s="3"/>
      <c r="T353" s="3"/>
      <c r="U353" s="3"/>
      <c r="V353" s="3"/>
      <c r="W353" s="3"/>
      <c r="X353" s="3"/>
      <c r="Y353" s="3"/>
      <c r="Z353" s="3"/>
    </row>
    <row r="354" spans="11:26" ht="15.75" customHeight="1" x14ac:dyDescent="0.3">
      <c r="K354" s="79"/>
      <c r="L354" s="79"/>
      <c r="M354" s="3"/>
      <c r="N354" s="3"/>
      <c r="O354" s="3"/>
      <c r="P354" s="3"/>
      <c r="Q354" s="6"/>
      <c r="R354" s="3"/>
      <c r="S354" s="3"/>
      <c r="T354" s="3"/>
      <c r="U354" s="3"/>
      <c r="V354" s="3"/>
      <c r="W354" s="3"/>
      <c r="X354" s="3"/>
      <c r="Y354" s="3"/>
      <c r="Z354" s="3"/>
    </row>
    <row r="355" spans="11:26" ht="15.75" customHeight="1" x14ac:dyDescent="0.3">
      <c r="K355" s="79"/>
      <c r="L355" s="79"/>
      <c r="M355" s="3"/>
      <c r="N355" s="3"/>
      <c r="O355" s="3"/>
      <c r="P355" s="3"/>
      <c r="Q355" s="6"/>
      <c r="R355" s="3"/>
      <c r="S355" s="3"/>
      <c r="T355" s="3"/>
      <c r="U355" s="3"/>
      <c r="V355" s="3"/>
      <c r="W355" s="3"/>
      <c r="X355" s="3"/>
      <c r="Y355" s="3"/>
      <c r="Z355" s="3"/>
    </row>
    <row r="356" spans="11:26" ht="15.75" customHeight="1" x14ac:dyDescent="0.3">
      <c r="K356" s="79"/>
      <c r="L356" s="79"/>
      <c r="M356" s="3"/>
      <c r="N356" s="3"/>
      <c r="O356" s="3"/>
      <c r="P356" s="3"/>
      <c r="Q356" s="6"/>
      <c r="R356" s="3"/>
      <c r="S356" s="3"/>
      <c r="T356" s="3"/>
      <c r="U356" s="3"/>
      <c r="V356" s="3"/>
      <c r="W356" s="3"/>
      <c r="X356" s="3"/>
      <c r="Y356" s="3"/>
      <c r="Z356" s="3"/>
    </row>
    <row r="357" spans="11:26" ht="15.75" customHeight="1" x14ac:dyDescent="0.3">
      <c r="K357" s="79"/>
      <c r="L357" s="79"/>
      <c r="M357" s="3"/>
      <c r="N357" s="3"/>
      <c r="O357" s="3"/>
      <c r="P357" s="3"/>
      <c r="Q357" s="6"/>
      <c r="R357" s="3"/>
      <c r="S357" s="3"/>
      <c r="T357" s="3"/>
      <c r="U357" s="3"/>
      <c r="V357" s="3"/>
      <c r="W357" s="3"/>
      <c r="X357" s="3"/>
      <c r="Y357" s="3"/>
      <c r="Z357" s="3"/>
    </row>
    <row r="358" spans="11:26" ht="15.75" customHeight="1" x14ac:dyDescent="0.3">
      <c r="K358" s="79"/>
      <c r="L358" s="79"/>
      <c r="M358" s="3"/>
      <c r="N358" s="3"/>
      <c r="O358" s="3"/>
      <c r="P358" s="3"/>
      <c r="Q358" s="6"/>
      <c r="R358" s="3"/>
      <c r="S358" s="3"/>
      <c r="T358" s="3"/>
      <c r="U358" s="3"/>
      <c r="V358" s="3"/>
      <c r="W358" s="3"/>
      <c r="X358" s="3"/>
      <c r="Y358" s="3"/>
      <c r="Z358" s="3"/>
    </row>
    <row r="359" spans="11:26" ht="15.75" customHeight="1" x14ac:dyDescent="0.3">
      <c r="K359" s="79"/>
      <c r="L359" s="79"/>
      <c r="M359" s="3"/>
      <c r="N359" s="3"/>
      <c r="O359" s="3"/>
      <c r="P359" s="3"/>
      <c r="Q359" s="6"/>
      <c r="R359" s="3"/>
      <c r="S359" s="3"/>
      <c r="T359" s="3"/>
      <c r="U359" s="3"/>
      <c r="V359" s="3"/>
      <c r="W359" s="3"/>
      <c r="X359" s="3"/>
      <c r="Y359" s="3"/>
      <c r="Z359" s="3"/>
    </row>
    <row r="360" spans="11:26" ht="15.75" customHeight="1" x14ac:dyDescent="0.3">
      <c r="K360" s="79"/>
      <c r="L360" s="79"/>
      <c r="M360" s="3"/>
      <c r="N360" s="3"/>
      <c r="O360" s="3"/>
      <c r="P360" s="3"/>
      <c r="Q360" s="6"/>
      <c r="R360" s="3"/>
      <c r="S360" s="3"/>
      <c r="T360" s="3"/>
      <c r="U360" s="3"/>
      <c r="V360" s="3"/>
      <c r="W360" s="3"/>
      <c r="X360" s="3"/>
      <c r="Y360" s="3"/>
      <c r="Z360" s="3"/>
    </row>
    <row r="361" spans="11:26" ht="15.75" customHeight="1" x14ac:dyDescent="0.3">
      <c r="K361" s="79"/>
      <c r="L361" s="79"/>
      <c r="M361" s="3"/>
      <c r="N361" s="3"/>
      <c r="O361" s="3"/>
      <c r="P361" s="3"/>
      <c r="Q361" s="6"/>
      <c r="R361" s="3"/>
      <c r="S361" s="3"/>
      <c r="T361" s="3"/>
      <c r="U361" s="3"/>
      <c r="V361" s="3"/>
      <c r="W361" s="3"/>
      <c r="X361" s="3"/>
      <c r="Y361" s="3"/>
      <c r="Z361" s="3"/>
    </row>
    <row r="362" spans="11:26" ht="15.75" customHeight="1" x14ac:dyDescent="0.3">
      <c r="K362" s="79"/>
      <c r="L362" s="79"/>
      <c r="M362" s="3"/>
      <c r="N362" s="3"/>
      <c r="O362" s="3"/>
      <c r="P362" s="3"/>
      <c r="Q362" s="6"/>
      <c r="R362" s="3"/>
      <c r="S362" s="3"/>
      <c r="T362" s="3"/>
      <c r="U362" s="3"/>
      <c r="V362" s="3"/>
      <c r="W362" s="3"/>
      <c r="X362" s="3"/>
      <c r="Y362" s="3"/>
      <c r="Z362" s="3"/>
    </row>
    <row r="363" spans="11:26" ht="15.75" customHeight="1" x14ac:dyDescent="0.3">
      <c r="K363" s="79"/>
      <c r="L363" s="79"/>
      <c r="M363" s="3"/>
      <c r="N363" s="3"/>
      <c r="O363" s="3"/>
      <c r="P363" s="3"/>
      <c r="Q363" s="6"/>
      <c r="R363" s="3"/>
      <c r="S363" s="3"/>
      <c r="T363" s="3"/>
      <c r="U363" s="3"/>
      <c r="V363" s="3"/>
      <c r="W363" s="3"/>
      <c r="X363" s="3"/>
      <c r="Y363" s="3"/>
      <c r="Z363" s="3"/>
    </row>
    <row r="364" spans="11:26" ht="15.75" customHeight="1" x14ac:dyDescent="0.3">
      <c r="K364" s="79"/>
      <c r="L364" s="79"/>
      <c r="M364" s="3"/>
      <c r="N364" s="3"/>
      <c r="O364" s="3"/>
      <c r="P364" s="3"/>
      <c r="Q364" s="6"/>
      <c r="R364" s="3"/>
      <c r="S364" s="3"/>
      <c r="T364" s="3"/>
      <c r="U364" s="3"/>
      <c r="V364" s="3"/>
      <c r="W364" s="3"/>
      <c r="X364" s="3"/>
      <c r="Y364" s="3"/>
      <c r="Z364" s="3"/>
    </row>
    <row r="365" spans="11:26" ht="15.75" customHeight="1" x14ac:dyDescent="0.3">
      <c r="K365" s="79"/>
      <c r="L365" s="79"/>
      <c r="M365" s="3"/>
      <c r="N365" s="3"/>
      <c r="O365" s="3"/>
      <c r="P365" s="3"/>
      <c r="Q365" s="6"/>
      <c r="R365" s="3"/>
      <c r="S365" s="3"/>
      <c r="T365" s="3"/>
      <c r="U365" s="3"/>
      <c r="V365" s="3"/>
      <c r="W365" s="3"/>
      <c r="X365" s="3"/>
      <c r="Y365" s="3"/>
      <c r="Z365" s="3"/>
    </row>
    <row r="366" spans="11:26" ht="15.75" customHeight="1" x14ac:dyDescent="0.3">
      <c r="K366" s="79"/>
      <c r="L366" s="79"/>
      <c r="M366" s="3"/>
      <c r="N366" s="3"/>
      <c r="O366" s="3"/>
      <c r="P366" s="3"/>
      <c r="Q366" s="6"/>
      <c r="R366" s="3"/>
      <c r="S366" s="3"/>
      <c r="T366" s="3"/>
      <c r="U366" s="3"/>
      <c r="V366" s="3"/>
      <c r="W366" s="3"/>
      <c r="X366" s="3"/>
      <c r="Y366" s="3"/>
      <c r="Z366" s="3"/>
    </row>
    <row r="367" spans="11:26" ht="15.75" customHeight="1" x14ac:dyDescent="0.3">
      <c r="K367" s="79"/>
      <c r="L367" s="79"/>
      <c r="M367" s="3"/>
      <c r="N367" s="3"/>
      <c r="O367" s="3"/>
      <c r="P367" s="3"/>
      <c r="Q367" s="6"/>
      <c r="R367" s="3"/>
      <c r="S367" s="3"/>
      <c r="T367" s="3"/>
      <c r="U367" s="3"/>
      <c r="V367" s="3"/>
      <c r="W367" s="3"/>
      <c r="X367" s="3"/>
      <c r="Y367" s="3"/>
      <c r="Z367" s="3"/>
    </row>
    <row r="368" spans="11:26" ht="15.75" customHeight="1" x14ac:dyDescent="0.3">
      <c r="K368" s="79"/>
      <c r="L368" s="79"/>
      <c r="M368" s="3"/>
      <c r="N368" s="3"/>
      <c r="O368" s="3"/>
      <c r="P368" s="3"/>
      <c r="Q368" s="6"/>
      <c r="R368" s="3"/>
      <c r="S368" s="3"/>
      <c r="T368" s="3"/>
      <c r="U368" s="3"/>
      <c r="V368" s="3"/>
      <c r="W368" s="3"/>
      <c r="X368" s="3"/>
      <c r="Y368" s="3"/>
      <c r="Z368" s="3"/>
    </row>
    <row r="369" spans="11:26" ht="15.75" customHeight="1" x14ac:dyDescent="0.3">
      <c r="K369" s="79"/>
      <c r="L369" s="79"/>
      <c r="M369" s="3"/>
      <c r="N369" s="3"/>
      <c r="O369" s="3"/>
      <c r="P369" s="3"/>
      <c r="Q369" s="6"/>
      <c r="R369" s="3"/>
      <c r="S369" s="3"/>
      <c r="T369" s="3"/>
      <c r="U369" s="3"/>
      <c r="V369" s="3"/>
      <c r="W369" s="3"/>
      <c r="X369" s="3"/>
      <c r="Y369" s="3"/>
      <c r="Z369" s="3"/>
    </row>
    <row r="370" spans="11:26" ht="15.75" customHeight="1" x14ac:dyDescent="0.3">
      <c r="K370" s="79"/>
      <c r="L370" s="79"/>
      <c r="M370" s="3"/>
      <c r="N370" s="3"/>
      <c r="O370" s="3"/>
      <c r="P370" s="3"/>
      <c r="Q370" s="6"/>
      <c r="R370" s="3"/>
      <c r="S370" s="3"/>
      <c r="T370" s="3"/>
      <c r="U370" s="3"/>
      <c r="V370" s="3"/>
      <c r="W370" s="3"/>
      <c r="X370" s="3"/>
      <c r="Y370" s="3"/>
      <c r="Z370" s="3"/>
    </row>
    <row r="371" spans="11:26" ht="15.75" customHeight="1" x14ac:dyDescent="0.3">
      <c r="K371" s="79"/>
      <c r="L371" s="79"/>
      <c r="M371" s="3"/>
      <c r="N371" s="3"/>
      <c r="O371" s="3"/>
      <c r="P371" s="3"/>
      <c r="Q371" s="6"/>
      <c r="R371" s="3"/>
      <c r="S371" s="3"/>
      <c r="T371" s="3"/>
      <c r="U371" s="3"/>
      <c r="V371" s="3"/>
      <c r="W371" s="3"/>
      <c r="X371" s="3"/>
      <c r="Y371" s="3"/>
      <c r="Z371" s="3"/>
    </row>
    <row r="372" spans="11:26" ht="15.75" customHeight="1" x14ac:dyDescent="0.3">
      <c r="K372" s="79"/>
      <c r="L372" s="79"/>
      <c r="M372" s="3"/>
      <c r="N372" s="3"/>
      <c r="O372" s="3"/>
      <c r="P372" s="3"/>
      <c r="Q372" s="6"/>
      <c r="R372" s="3"/>
      <c r="S372" s="3"/>
      <c r="T372" s="3"/>
      <c r="U372" s="3"/>
      <c r="V372" s="3"/>
      <c r="W372" s="3"/>
      <c r="X372" s="3"/>
      <c r="Y372" s="3"/>
      <c r="Z372" s="3"/>
    </row>
    <row r="373" spans="11:26" ht="15.75" customHeight="1" x14ac:dyDescent="0.3">
      <c r="K373" s="79"/>
      <c r="L373" s="79"/>
      <c r="M373" s="3"/>
      <c r="N373" s="3"/>
      <c r="O373" s="3"/>
      <c r="P373" s="3"/>
      <c r="Q373" s="6"/>
      <c r="R373" s="3"/>
      <c r="S373" s="3"/>
      <c r="T373" s="3"/>
      <c r="U373" s="3"/>
      <c r="V373" s="3"/>
      <c r="W373" s="3"/>
      <c r="X373" s="3"/>
      <c r="Y373" s="3"/>
      <c r="Z373" s="3"/>
    </row>
    <row r="374" spans="11:26" ht="15.75" customHeight="1" x14ac:dyDescent="0.3">
      <c r="K374" s="79"/>
      <c r="L374" s="79"/>
      <c r="M374" s="3"/>
      <c r="N374" s="3"/>
      <c r="O374" s="3"/>
      <c r="P374" s="3"/>
      <c r="Q374" s="6"/>
      <c r="R374" s="3"/>
      <c r="S374" s="3"/>
      <c r="T374" s="3"/>
      <c r="U374" s="3"/>
      <c r="V374" s="3"/>
      <c r="W374" s="3"/>
      <c r="X374" s="3"/>
      <c r="Y374" s="3"/>
      <c r="Z374" s="3"/>
    </row>
    <row r="375" spans="11:26" ht="15.75" customHeight="1" x14ac:dyDescent="0.3">
      <c r="K375" s="79"/>
      <c r="L375" s="79"/>
      <c r="M375" s="3"/>
      <c r="N375" s="3"/>
      <c r="O375" s="3"/>
      <c r="P375" s="3"/>
      <c r="Q375" s="6"/>
      <c r="R375" s="3"/>
      <c r="S375" s="3"/>
      <c r="T375" s="3"/>
      <c r="U375" s="3"/>
      <c r="V375" s="3"/>
      <c r="W375" s="3"/>
      <c r="X375" s="3"/>
      <c r="Y375" s="3"/>
      <c r="Z375" s="3"/>
    </row>
    <row r="376" spans="11:26" ht="15.75" customHeight="1" x14ac:dyDescent="0.3">
      <c r="K376" s="79"/>
      <c r="L376" s="79"/>
      <c r="M376" s="3"/>
      <c r="N376" s="3"/>
      <c r="O376" s="3"/>
      <c r="P376" s="3"/>
      <c r="Q376" s="6"/>
      <c r="R376" s="3"/>
      <c r="S376" s="3"/>
      <c r="T376" s="3"/>
      <c r="U376" s="3"/>
      <c r="V376" s="3"/>
      <c r="W376" s="3"/>
      <c r="X376" s="3"/>
      <c r="Y376" s="3"/>
      <c r="Z376" s="3"/>
    </row>
    <row r="377" spans="11:26" ht="15.75" customHeight="1" x14ac:dyDescent="0.3">
      <c r="K377" s="79"/>
      <c r="L377" s="79"/>
      <c r="M377" s="3"/>
      <c r="N377" s="3"/>
      <c r="O377" s="3"/>
      <c r="P377" s="3"/>
      <c r="Q377" s="6"/>
      <c r="R377" s="3"/>
      <c r="S377" s="3"/>
      <c r="T377" s="3"/>
      <c r="U377" s="3"/>
      <c r="V377" s="3"/>
      <c r="W377" s="3"/>
      <c r="X377" s="3"/>
      <c r="Y377" s="3"/>
      <c r="Z377" s="3"/>
    </row>
    <row r="378" spans="11:26" ht="15.75" customHeight="1" x14ac:dyDescent="0.3">
      <c r="K378" s="79"/>
      <c r="L378" s="79"/>
      <c r="M378" s="3"/>
      <c r="N378" s="3"/>
      <c r="O378" s="3"/>
      <c r="P378" s="3"/>
      <c r="Q378" s="6"/>
      <c r="R378" s="3"/>
      <c r="S378" s="3"/>
      <c r="T378" s="3"/>
      <c r="U378" s="3"/>
      <c r="V378" s="3"/>
      <c r="W378" s="3"/>
      <c r="X378" s="3"/>
      <c r="Y378" s="3"/>
      <c r="Z378" s="3"/>
    </row>
    <row r="379" spans="11:26" ht="15.75" customHeight="1" x14ac:dyDescent="0.3">
      <c r="K379" s="79"/>
      <c r="L379" s="79"/>
      <c r="M379" s="3"/>
      <c r="N379" s="3"/>
      <c r="O379" s="3"/>
      <c r="P379" s="3"/>
      <c r="Q379" s="6"/>
      <c r="R379" s="3"/>
      <c r="S379" s="3"/>
      <c r="T379" s="3"/>
      <c r="U379" s="3"/>
      <c r="V379" s="3"/>
      <c r="W379" s="3"/>
      <c r="X379" s="3"/>
      <c r="Y379" s="3"/>
      <c r="Z379" s="3"/>
    </row>
    <row r="380" spans="11:26" ht="15.75" customHeight="1" x14ac:dyDescent="0.3">
      <c r="K380" s="79"/>
      <c r="L380" s="79"/>
      <c r="M380" s="3"/>
      <c r="N380" s="3"/>
      <c r="O380" s="3"/>
      <c r="P380" s="3"/>
      <c r="Q380" s="6"/>
      <c r="R380" s="3"/>
      <c r="S380" s="3"/>
      <c r="T380" s="3"/>
      <c r="U380" s="3"/>
      <c r="V380" s="3"/>
      <c r="W380" s="3"/>
      <c r="X380" s="3"/>
      <c r="Y380" s="3"/>
      <c r="Z380" s="3"/>
    </row>
    <row r="381" spans="11:26" ht="15.75" customHeight="1" x14ac:dyDescent="0.3">
      <c r="K381" s="79"/>
      <c r="L381" s="79"/>
      <c r="M381" s="3"/>
      <c r="N381" s="3"/>
      <c r="O381" s="3"/>
      <c r="P381" s="3"/>
      <c r="Q381" s="6"/>
      <c r="R381" s="3"/>
      <c r="S381" s="3"/>
      <c r="T381" s="3"/>
      <c r="U381" s="3"/>
      <c r="V381" s="3"/>
      <c r="W381" s="3"/>
      <c r="X381" s="3"/>
      <c r="Y381" s="3"/>
      <c r="Z381" s="3"/>
    </row>
    <row r="382" spans="11:26" ht="15.75" customHeight="1" x14ac:dyDescent="0.3">
      <c r="K382" s="79"/>
      <c r="L382" s="79"/>
      <c r="M382" s="3"/>
      <c r="N382" s="3"/>
      <c r="O382" s="3"/>
      <c r="P382" s="3"/>
      <c r="Q382" s="6"/>
      <c r="R382" s="3"/>
      <c r="S382" s="3"/>
      <c r="T382" s="3"/>
      <c r="U382" s="3"/>
      <c r="V382" s="3"/>
      <c r="W382" s="3"/>
      <c r="X382" s="3"/>
      <c r="Y382" s="3"/>
      <c r="Z382" s="3"/>
    </row>
    <row r="383" spans="11:26" ht="15.75" customHeight="1" x14ac:dyDescent="0.3">
      <c r="K383" s="79"/>
      <c r="L383" s="79"/>
      <c r="M383" s="3"/>
      <c r="N383" s="3"/>
      <c r="O383" s="3"/>
      <c r="P383" s="3"/>
      <c r="Q383" s="6"/>
      <c r="R383" s="3"/>
      <c r="S383" s="3"/>
      <c r="T383" s="3"/>
      <c r="U383" s="3"/>
      <c r="V383" s="3"/>
      <c r="W383" s="3"/>
      <c r="X383" s="3"/>
      <c r="Y383" s="3"/>
      <c r="Z383" s="3"/>
    </row>
    <row r="384" spans="11:26" ht="15.75" customHeight="1" x14ac:dyDescent="0.3">
      <c r="K384" s="79"/>
      <c r="L384" s="79"/>
      <c r="M384" s="3"/>
      <c r="N384" s="3"/>
      <c r="O384" s="3"/>
      <c r="P384" s="3"/>
      <c r="Q384" s="6"/>
      <c r="R384" s="3"/>
      <c r="S384" s="3"/>
      <c r="T384" s="3"/>
      <c r="U384" s="3"/>
      <c r="V384" s="3"/>
      <c r="W384" s="3"/>
      <c r="X384" s="3"/>
      <c r="Y384" s="3"/>
      <c r="Z384" s="3"/>
    </row>
    <row r="385" spans="11:26" ht="15.75" customHeight="1" x14ac:dyDescent="0.3">
      <c r="K385" s="79"/>
      <c r="L385" s="79"/>
      <c r="M385" s="3"/>
      <c r="N385" s="3"/>
      <c r="O385" s="3"/>
      <c r="P385" s="3"/>
      <c r="Q385" s="6"/>
      <c r="R385" s="3"/>
      <c r="S385" s="3"/>
      <c r="T385" s="3"/>
      <c r="U385" s="3"/>
      <c r="V385" s="3"/>
      <c r="W385" s="3"/>
      <c r="X385" s="3"/>
      <c r="Y385" s="3"/>
      <c r="Z385" s="3"/>
    </row>
    <row r="386" spans="11:26" ht="15.75" customHeight="1" x14ac:dyDescent="0.3">
      <c r="K386" s="79"/>
      <c r="L386" s="79"/>
      <c r="M386" s="3"/>
      <c r="N386" s="3"/>
      <c r="O386" s="3"/>
      <c r="P386" s="3"/>
      <c r="Q386" s="6"/>
      <c r="R386" s="3"/>
      <c r="S386" s="3"/>
      <c r="T386" s="3"/>
      <c r="U386" s="3"/>
      <c r="V386" s="3"/>
      <c r="W386" s="3"/>
      <c r="X386" s="3"/>
      <c r="Y386" s="3"/>
      <c r="Z386" s="3"/>
    </row>
    <row r="387" spans="11:26" ht="15.75" customHeight="1" x14ac:dyDescent="0.3">
      <c r="K387" s="79"/>
      <c r="L387" s="79"/>
      <c r="M387" s="3"/>
      <c r="N387" s="3"/>
      <c r="O387" s="3"/>
      <c r="P387" s="3"/>
      <c r="Q387" s="6"/>
      <c r="R387" s="3"/>
      <c r="S387" s="3"/>
      <c r="T387" s="3"/>
      <c r="U387" s="3"/>
      <c r="V387" s="3"/>
      <c r="W387" s="3"/>
      <c r="X387" s="3"/>
      <c r="Y387" s="3"/>
      <c r="Z387" s="3"/>
    </row>
    <row r="388" spans="11:26" ht="15.75" customHeight="1" x14ac:dyDescent="0.3">
      <c r="K388" s="79"/>
      <c r="L388" s="79"/>
      <c r="M388" s="3"/>
      <c r="N388" s="3"/>
      <c r="O388" s="3"/>
      <c r="P388" s="3"/>
      <c r="Q388" s="6"/>
      <c r="R388" s="3"/>
      <c r="S388" s="3"/>
      <c r="T388" s="3"/>
      <c r="U388" s="3"/>
      <c r="V388" s="3"/>
      <c r="W388" s="3"/>
      <c r="X388" s="3"/>
      <c r="Y388" s="3"/>
      <c r="Z388" s="3"/>
    </row>
    <row r="389" spans="11:26" ht="15.75" customHeight="1" x14ac:dyDescent="0.3">
      <c r="K389" s="79"/>
      <c r="L389" s="79"/>
      <c r="M389" s="3"/>
      <c r="N389" s="3"/>
      <c r="O389" s="3"/>
      <c r="P389" s="3"/>
      <c r="Q389" s="6"/>
      <c r="R389" s="3"/>
      <c r="S389" s="3"/>
      <c r="T389" s="3"/>
      <c r="U389" s="3"/>
      <c r="V389" s="3"/>
      <c r="W389" s="3"/>
      <c r="X389" s="3"/>
      <c r="Y389" s="3"/>
      <c r="Z389" s="3"/>
    </row>
    <row r="390" spans="11:26" ht="15.75" customHeight="1" x14ac:dyDescent="0.3">
      <c r="K390" s="79"/>
      <c r="L390" s="79"/>
      <c r="M390" s="3"/>
      <c r="N390" s="3"/>
      <c r="O390" s="3"/>
      <c r="P390" s="3"/>
      <c r="Q390" s="6"/>
      <c r="R390" s="3"/>
      <c r="S390" s="3"/>
      <c r="T390" s="3"/>
      <c r="U390" s="3"/>
      <c r="V390" s="3"/>
      <c r="W390" s="3"/>
      <c r="X390" s="3"/>
      <c r="Y390" s="3"/>
      <c r="Z390" s="3"/>
    </row>
    <row r="391" spans="11:26" ht="15.75" customHeight="1" x14ac:dyDescent="0.3">
      <c r="K391" s="79"/>
      <c r="L391" s="79"/>
      <c r="M391" s="3"/>
      <c r="N391" s="3"/>
      <c r="O391" s="3"/>
      <c r="P391" s="3"/>
      <c r="Q391" s="6"/>
      <c r="R391" s="3"/>
      <c r="S391" s="3"/>
      <c r="T391" s="3"/>
      <c r="U391" s="3"/>
      <c r="V391" s="3"/>
      <c r="W391" s="3"/>
      <c r="X391" s="3"/>
      <c r="Y391" s="3"/>
      <c r="Z391" s="3"/>
    </row>
    <row r="392" spans="11:26" ht="15.75" customHeight="1" x14ac:dyDescent="0.3">
      <c r="K392" s="79"/>
      <c r="L392" s="79"/>
      <c r="M392" s="3"/>
      <c r="N392" s="3"/>
      <c r="O392" s="3"/>
      <c r="P392" s="3"/>
      <c r="Q392" s="6"/>
      <c r="R392" s="3"/>
      <c r="S392" s="3"/>
      <c r="T392" s="3"/>
      <c r="U392" s="3"/>
      <c r="V392" s="3"/>
      <c r="W392" s="3"/>
      <c r="X392" s="3"/>
      <c r="Y392" s="3"/>
      <c r="Z392" s="3"/>
    </row>
    <row r="393" spans="11:26" ht="15.75" customHeight="1" x14ac:dyDescent="0.3">
      <c r="K393" s="79"/>
      <c r="L393" s="79"/>
      <c r="M393" s="3"/>
      <c r="N393" s="3"/>
      <c r="O393" s="3"/>
      <c r="P393" s="3"/>
      <c r="Q393" s="6"/>
      <c r="R393" s="3"/>
      <c r="S393" s="3"/>
      <c r="T393" s="3"/>
      <c r="U393" s="3"/>
      <c r="V393" s="3"/>
      <c r="W393" s="3"/>
      <c r="X393" s="3"/>
      <c r="Y393" s="3"/>
      <c r="Z393" s="3"/>
    </row>
    <row r="394" spans="11:26" ht="15.75" customHeight="1" x14ac:dyDescent="0.3">
      <c r="K394" s="79"/>
      <c r="L394" s="79"/>
      <c r="M394" s="3"/>
      <c r="N394" s="3"/>
      <c r="O394" s="3"/>
      <c r="P394" s="3"/>
      <c r="Q394" s="6"/>
      <c r="R394" s="3"/>
      <c r="S394" s="3"/>
      <c r="T394" s="3"/>
      <c r="U394" s="3"/>
      <c r="V394" s="3"/>
      <c r="W394" s="3"/>
      <c r="X394" s="3"/>
      <c r="Y394" s="3"/>
      <c r="Z394" s="3"/>
    </row>
    <row r="395" spans="11:26" ht="15.75" customHeight="1" x14ac:dyDescent="0.3">
      <c r="K395" s="79"/>
      <c r="L395" s="79"/>
      <c r="M395" s="3"/>
      <c r="N395" s="3"/>
      <c r="O395" s="3"/>
      <c r="P395" s="3"/>
      <c r="Q395" s="6"/>
      <c r="R395" s="3"/>
      <c r="S395" s="3"/>
      <c r="T395" s="3"/>
      <c r="U395" s="3"/>
      <c r="V395" s="3"/>
      <c r="W395" s="3"/>
      <c r="X395" s="3"/>
      <c r="Y395" s="3"/>
      <c r="Z395" s="3"/>
    </row>
    <row r="396" spans="11:26" ht="15.75" customHeight="1" x14ac:dyDescent="0.3">
      <c r="K396" s="79"/>
      <c r="L396" s="79"/>
      <c r="M396" s="3"/>
      <c r="N396" s="3"/>
      <c r="O396" s="3"/>
      <c r="P396" s="3"/>
      <c r="Q396" s="6"/>
      <c r="R396" s="3"/>
      <c r="S396" s="3"/>
      <c r="T396" s="3"/>
      <c r="U396" s="3"/>
      <c r="V396" s="3"/>
      <c r="W396" s="3"/>
      <c r="X396" s="3"/>
      <c r="Y396" s="3"/>
      <c r="Z396" s="3"/>
    </row>
    <row r="397" spans="11:26" ht="15.75" customHeight="1" x14ac:dyDescent="0.3">
      <c r="K397" s="79"/>
      <c r="L397" s="79"/>
      <c r="M397" s="3"/>
      <c r="N397" s="3"/>
      <c r="O397" s="3"/>
      <c r="P397" s="3"/>
      <c r="Q397" s="6"/>
      <c r="R397" s="3"/>
      <c r="S397" s="3"/>
      <c r="T397" s="3"/>
      <c r="U397" s="3"/>
      <c r="V397" s="3"/>
      <c r="W397" s="3"/>
      <c r="X397" s="3"/>
      <c r="Y397" s="3"/>
      <c r="Z397" s="3"/>
    </row>
    <row r="398" spans="11:26" ht="15.75" customHeight="1" x14ac:dyDescent="0.3">
      <c r="K398" s="79"/>
      <c r="L398" s="79"/>
      <c r="M398" s="3"/>
      <c r="N398" s="3"/>
      <c r="O398" s="3"/>
      <c r="P398" s="3"/>
      <c r="Q398" s="6"/>
      <c r="R398" s="3"/>
      <c r="S398" s="3"/>
      <c r="T398" s="3"/>
      <c r="U398" s="3"/>
      <c r="V398" s="3"/>
      <c r="W398" s="3"/>
      <c r="X398" s="3"/>
      <c r="Y398" s="3"/>
      <c r="Z398" s="3"/>
    </row>
    <row r="399" spans="11:26" ht="15.75" customHeight="1" x14ac:dyDescent="0.3">
      <c r="K399" s="79"/>
      <c r="L399" s="79"/>
      <c r="M399" s="3"/>
      <c r="N399" s="3"/>
      <c r="O399" s="3"/>
      <c r="P399" s="3"/>
      <c r="Q399" s="6"/>
      <c r="R399" s="3"/>
      <c r="S399" s="3"/>
      <c r="T399" s="3"/>
      <c r="U399" s="3"/>
      <c r="V399" s="3"/>
      <c r="W399" s="3"/>
      <c r="X399" s="3"/>
      <c r="Y399" s="3"/>
      <c r="Z399" s="3"/>
    </row>
    <row r="400" spans="11:26" ht="15.75" customHeight="1" x14ac:dyDescent="0.3">
      <c r="K400" s="79"/>
      <c r="L400" s="79"/>
      <c r="M400" s="3"/>
      <c r="N400" s="3"/>
      <c r="O400" s="3"/>
      <c r="P400" s="3"/>
      <c r="Q400" s="6"/>
      <c r="R400" s="3"/>
      <c r="S400" s="3"/>
      <c r="T400" s="3"/>
      <c r="U400" s="3"/>
      <c r="V400" s="3"/>
      <c r="W400" s="3"/>
      <c r="X400" s="3"/>
      <c r="Y400" s="3"/>
      <c r="Z400" s="3"/>
    </row>
    <row r="401" spans="11:26" ht="15.75" customHeight="1" x14ac:dyDescent="0.3">
      <c r="K401" s="79"/>
      <c r="L401" s="79"/>
      <c r="M401" s="3"/>
      <c r="N401" s="3"/>
      <c r="O401" s="3"/>
      <c r="P401" s="3"/>
      <c r="Q401" s="6"/>
      <c r="R401" s="3"/>
      <c r="S401" s="3"/>
      <c r="T401" s="3"/>
      <c r="U401" s="3"/>
      <c r="V401" s="3"/>
      <c r="W401" s="3"/>
      <c r="X401" s="3"/>
      <c r="Y401" s="3"/>
      <c r="Z401" s="3"/>
    </row>
    <row r="402" spans="11:26" ht="15.75" customHeight="1" x14ac:dyDescent="0.3">
      <c r="K402" s="79"/>
      <c r="L402" s="79"/>
      <c r="M402" s="3"/>
      <c r="N402" s="3"/>
      <c r="O402" s="3"/>
      <c r="P402" s="3"/>
      <c r="Q402" s="6"/>
      <c r="R402" s="3"/>
      <c r="S402" s="3"/>
      <c r="T402" s="3"/>
      <c r="U402" s="3"/>
      <c r="V402" s="3"/>
      <c r="W402" s="3"/>
      <c r="X402" s="3"/>
      <c r="Y402" s="3"/>
      <c r="Z402" s="3"/>
    </row>
    <row r="403" spans="11:26" ht="15.75" customHeight="1" x14ac:dyDescent="0.3">
      <c r="K403" s="79"/>
      <c r="L403" s="79"/>
      <c r="M403" s="3"/>
      <c r="N403" s="3"/>
      <c r="O403" s="3"/>
      <c r="P403" s="3"/>
      <c r="Q403" s="6"/>
      <c r="R403" s="3"/>
      <c r="S403" s="3"/>
      <c r="T403" s="3"/>
      <c r="U403" s="3"/>
      <c r="V403" s="3"/>
      <c r="W403" s="3"/>
      <c r="X403" s="3"/>
      <c r="Y403" s="3"/>
      <c r="Z403" s="3"/>
    </row>
    <row r="404" spans="11:26" ht="15.75" customHeight="1" x14ac:dyDescent="0.3">
      <c r="K404" s="79"/>
      <c r="L404" s="79"/>
      <c r="M404" s="3"/>
      <c r="N404" s="3"/>
      <c r="O404" s="3"/>
      <c r="P404" s="3"/>
      <c r="Q404" s="6"/>
      <c r="R404" s="3"/>
      <c r="S404" s="3"/>
      <c r="T404" s="3"/>
      <c r="U404" s="3"/>
      <c r="V404" s="3"/>
      <c r="W404" s="3"/>
      <c r="X404" s="3"/>
      <c r="Y404" s="3"/>
      <c r="Z404" s="3"/>
    </row>
    <row r="405" spans="11:26" ht="15.75" customHeight="1" x14ac:dyDescent="0.3">
      <c r="K405" s="79"/>
      <c r="L405" s="79"/>
      <c r="M405" s="3"/>
      <c r="N405" s="3"/>
      <c r="O405" s="3"/>
      <c r="P405" s="3"/>
      <c r="Q405" s="6"/>
      <c r="R405" s="3"/>
      <c r="S405" s="3"/>
      <c r="T405" s="3"/>
      <c r="U405" s="3"/>
      <c r="V405" s="3"/>
      <c r="W405" s="3"/>
      <c r="X405" s="3"/>
      <c r="Y405" s="3"/>
      <c r="Z405" s="3"/>
    </row>
    <row r="406" spans="11:26" ht="15.75" customHeight="1" x14ac:dyDescent="0.3">
      <c r="K406" s="79"/>
      <c r="L406" s="79"/>
      <c r="M406" s="3"/>
      <c r="N406" s="3"/>
      <c r="O406" s="3"/>
      <c r="P406" s="3"/>
      <c r="Q406" s="6"/>
      <c r="R406" s="3"/>
      <c r="S406" s="3"/>
      <c r="T406" s="3"/>
      <c r="U406" s="3"/>
      <c r="V406" s="3"/>
      <c r="W406" s="3"/>
      <c r="X406" s="3"/>
      <c r="Y406" s="3"/>
      <c r="Z406" s="3"/>
    </row>
    <row r="407" spans="11:26" ht="15.75" customHeight="1" x14ac:dyDescent="0.3">
      <c r="K407" s="79"/>
      <c r="L407" s="79"/>
      <c r="M407" s="3"/>
      <c r="N407" s="3"/>
      <c r="O407" s="3"/>
      <c r="P407" s="3"/>
      <c r="Q407" s="6"/>
      <c r="R407" s="3"/>
      <c r="S407" s="3"/>
      <c r="T407" s="3"/>
      <c r="U407" s="3"/>
      <c r="V407" s="3"/>
      <c r="W407" s="3"/>
      <c r="X407" s="3"/>
      <c r="Y407" s="3"/>
      <c r="Z407" s="3"/>
    </row>
    <row r="408" spans="11:26" ht="15.75" customHeight="1" x14ac:dyDescent="0.3">
      <c r="K408" s="79"/>
      <c r="L408" s="79"/>
      <c r="M408" s="3"/>
      <c r="N408" s="3"/>
      <c r="O408" s="3"/>
      <c r="P408" s="3"/>
      <c r="Q408" s="6"/>
      <c r="R408" s="3"/>
      <c r="S408" s="3"/>
      <c r="T408" s="3"/>
      <c r="U408" s="3"/>
      <c r="V408" s="3"/>
      <c r="W408" s="3"/>
      <c r="X408" s="3"/>
      <c r="Y408" s="3"/>
      <c r="Z408" s="3"/>
    </row>
    <row r="409" spans="11:26" ht="15.75" customHeight="1" x14ac:dyDescent="0.3">
      <c r="K409" s="79"/>
      <c r="L409" s="79"/>
      <c r="M409" s="3"/>
      <c r="N409" s="3"/>
      <c r="O409" s="3"/>
      <c r="P409" s="3"/>
      <c r="Q409" s="6"/>
      <c r="R409" s="3"/>
      <c r="S409" s="3"/>
      <c r="T409" s="3"/>
      <c r="U409" s="3"/>
      <c r="V409" s="3"/>
      <c r="W409" s="3"/>
      <c r="X409" s="3"/>
      <c r="Y409" s="3"/>
      <c r="Z409" s="3"/>
    </row>
    <row r="410" spans="11:26" ht="15.75" customHeight="1" x14ac:dyDescent="0.3">
      <c r="K410" s="79"/>
      <c r="L410" s="79"/>
      <c r="M410" s="3"/>
      <c r="N410" s="3"/>
      <c r="O410" s="3"/>
      <c r="P410" s="3"/>
      <c r="Q410" s="6"/>
      <c r="R410" s="3"/>
      <c r="S410" s="3"/>
      <c r="T410" s="3"/>
      <c r="U410" s="3"/>
      <c r="V410" s="3"/>
      <c r="W410" s="3"/>
      <c r="X410" s="3"/>
      <c r="Y410" s="3"/>
      <c r="Z410" s="3"/>
    </row>
    <row r="411" spans="11:26" ht="15.75" customHeight="1" x14ac:dyDescent="0.3">
      <c r="K411" s="79"/>
      <c r="L411" s="79"/>
      <c r="M411" s="3"/>
      <c r="N411" s="3"/>
      <c r="O411" s="3"/>
      <c r="P411" s="3"/>
      <c r="Q411" s="6"/>
      <c r="R411" s="3"/>
      <c r="S411" s="3"/>
      <c r="T411" s="3"/>
      <c r="U411" s="3"/>
      <c r="V411" s="3"/>
      <c r="W411" s="3"/>
      <c r="X411" s="3"/>
      <c r="Y411" s="3"/>
      <c r="Z411" s="3"/>
    </row>
    <row r="412" spans="11:26" ht="15.75" customHeight="1" x14ac:dyDescent="0.3">
      <c r="K412" s="79"/>
      <c r="L412" s="79"/>
      <c r="M412" s="3"/>
      <c r="N412" s="3"/>
      <c r="O412" s="3"/>
      <c r="P412" s="3"/>
      <c r="Q412" s="6"/>
      <c r="R412" s="3"/>
      <c r="S412" s="3"/>
      <c r="T412" s="3"/>
      <c r="U412" s="3"/>
      <c r="V412" s="3"/>
      <c r="W412" s="3"/>
      <c r="X412" s="3"/>
      <c r="Y412" s="3"/>
      <c r="Z412" s="3"/>
    </row>
    <row r="413" spans="11:26" ht="15.75" customHeight="1" x14ac:dyDescent="0.3">
      <c r="K413" s="79"/>
      <c r="L413" s="79"/>
      <c r="M413" s="3"/>
      <c r="N413" s="3"/>
      <c r="O413" s="3"/>
      <c r="P413" s="3"/>
      <c r="Q413" s="6"/>
      <c r="R413" s="3"/>
      <c r="S413" s="3"/>
      <c r="T413" s="3"/>
      <c r="U413" s="3"/>
      <c r="V413" s="3"/>
      <c r="W413" s="3"/>
      <c r="X413" s="3"/>
      <c r="Y413" s="3"/>
      <c r="Z413" s="3"/>
    </row>
    <row r="414" spans="11:26" ht="15.75" customHeight="1" x14ac:dyDescent="0.3">
      <c r="K414" s="79"/>
      <c r="L414" s="79"/>
      <c r="M414" s="3"/>
      <c r="N414" s="3"/>
      <c r="O414" s="3"/>
      <c r="P414" s="3"/>
      <c r="Q414" s="6"/>
      <c r="R414" s="3"/>
      <c r="S414" s="3"/>
      <c r="T414" s="3"/>
      <c r="U414" s="3"/>
      <c r="V414" s="3"/>
      <c r="W414" s="3"/>
      <c r="X414" s="3"/>
      <c r="Y414" s="3"/>
      <c r="Z414" s="3"/>
    </row>
    <row r="415" spans="11:26" ht="15.75" customHeight="1" x14ac:dyDescent="0.3">
      <c r="K415" s="79"/>
      <c r="L415" s="79"/>
      <c r="M415" s="3"/>
      <c r="N415" s="3"/>
      <c r="O415" s="3"/>
      <c r="P415" s="3"/>
      <c r="Q415" s="6"/>
      <c r="R415" s="3"/>
      <c r="S415" s="3"/>
      <c r="T415" s="3"/>
      <c r="U415" s="3"/>
      <c r="V415" s="3"/>
      <c r="W415" s="3"/>
      <c r="X415" s="3"/>
      <c r="Y415" s="3"/>
      <c r="Z415" s="3"/>
    </row>
    <row r="416" spans="11:26" ht="15.75" customHeight="1" x14ac:dyDescent="0.3">
      <c r="K416" s="79"/>
      <c r="L416" s="79"/>
      <c r="M416" s="3"/>
      <c r="N416" s="3"/>
      <c r="O416" s="3"/>
      <c r="P416" s="3"/>
      <c r="Q416" s="6"/>
      <c r="R416" s="3"/>
      <c r="S416" s="3"/>
      <c r="T416" s="3"/>
      <c r="U416" s="3"/>
      <c r="V416" s="3"/>
      <c r="W416" s="3"/>
      <c r="X416" s="3"/>
      <c r="Y416" s="3"/>
      <c r="Z416" s="3"/>
    </row>
    <row r="417" spans="11:26" ht="15.75" customHeight="1" x14ac:dyDescent="0.3">
      <c r="K417" s="79"/>
      <c r="L417" s="79"/>
      <c r="M417" s="3"/>
      <c r="N417" s="3"/>
      <c r="O417" s="3"/>
      <c r="P417" s="3"/>
      <c r="Q417" s="6"/>
      <c r="R417" s="3"/>
      <c r="S417" s="3"/>
      <c r="T417" s="3"/>
      <c r="U417" s="3"/>
      <c r="V417" s="3"/>
      <c r="W417" s="3"/>
      <c r="X417" s="3"/>
      <c r="Y417" s="3"/>
      <c r="Z417" s="3"/>
    </row>
    <row r="418" spans="11:26" ht="15.75" customHeight="1" x14ac:dyDescent="0.3">
      <c r="K418" s="79"/>
      <c r="L418" s="79"/>
      <c r="M418" s="3"/>
      <c r="N418" s="3"/>
      <c r="O418" s="3"/>
      <c r="P418" s="3"/>
      <c r="Q418" s="6"/>
      <c r="R418" s="3"/>
      <c r="S418" s="3"/>
      <c r="T418" s="3"/>
      <c r="U418" s="3"/>
      <c r="V418" s="3"/>
      <c r="W418" s="3"/>
      <c r="X418" s="3"/>
      <c r="Y418" s="3"/>
      <c r="Z418" s="3"/>
    </row>
    <row r="419" spans="11:26" ht="15.75" customHeight="1" x14ac:dyDescent="0.3">
      <c r="K419" s="79"/>
      <c r="L419" s="79"/>
      <c r="M419" s="3"/>
      <c r="N419" s="3"/>
      <c r="O419" s="3"/>
      <c r="P419" s="3"/>
      <c r="Q419" s="6"/>
      <c r="R419" s="3"/>
      <c r="S419" s="3"/>
      <c r="T419" s="3"/>
      <c r="U419" s="3"/>
      <c r="V419" s="3"/>
      <c r="W419" s="3"/>
      <c r="X419" s="3"/>
      <c r="Y419" s="3"/>
      <c r="Z419" s="3"/>
    </row>
    <row r="420" spans="11:26" ht="15.75" customHeight="1" x14ac:dyDescent="0.3">
      <c r="K420" s="79"/>
      <c r="L420" s="79"/>
      <c r="M420" s="3"/>
      <c r="N420" s="3"/>
      <c r="O420" s="3"/>
      <c r="P420" s="3"/>
      <c r="Q420" s="6"/>
      <c r="R420" s="3"/>
      <c r="S420" s="3"/>
      <c r="T420" s="3"/>
      <c r="U420" s="3"/>
      <c r="V420" s="3"/>
      <c r="W420" s="3"/>
      <c r="X420" s="3"/>
      <c r="Y420" s="3"/>
      <c r="Z420" s="3"/>
    </row>
    <row r="421" spans="11:26" ht="15.75" customHeight="1" x14ac:dyDescent="0.3">
      <c r="K421" s="79"/>
      <c r="L421" s="79"/>
      <c r="M421" s="3"/>
      <c r="N421" s="3"/>
      <c r="O421" s="3"/>
      <c r="P421" s="3"/>
      <c r="Q421" s="6"/>
      <c r="R421" s="3"/>
      <c r="S421" s="3"/>
      <c r="T421" s="3"/>
      <c r="U421" s="3"/>
      <c r="V421" s="3"/>
      <c r="W421" s="3"/>
      <c r="X421" s="3"/>
      <c r="Y421" s="3"/>
      <c r="Z421" s="3"/>
    </row>
    <row r="422" spans="11:26" ht="15.75" customHeight="1" x14ac:dyDescent="0.3">
      <c r="K422" s="79"/>
      <c r="L422" s="79"/>
      <c r="M422" s="3"/>
      <c r="N422" s="3"/>
      <c r="O422" s="3"/>
      <c r="P422" s="3"/>
      <c r="Q422" s="6"/>
      <c r="R422" s="3"/>
      <c r="S422" s="3"/>
      <c r="T422" s="3"/>
      <c r="U422" s="3"/>
      <c r="V422" s="3"/>
      <c r="W422" s="3"/>
      <c r="X422" s="3"/>
      <c r="Y422" s="3"/>
      <c r="Z422" s="3"/>
    </row>
    <row r="423" spans="11:26" ht="15.75" customHeight="1" x14ac:dyDescent="0.3">
      <c r="K423" s="79"/>
      <c r="L423" s="79"/>
      <c r="M423" s="3"/>
      <c r="N423" s="3"/>
      <c r="O423" s="3"/>
      <c r="P423" s="3"/>
      <c r="Q423" s="6"/>
      <c r="R423" s="3"/>
      <c r="S423" s="3"/>
      <c r="T423" s="3"/>
      <c r="U423" s="3"/>
      <c r="V423" s="3"/>
      <c r="W423" s="3"/>
      <c r="X423" s="3"/>
      <c r="Y423" s="3"/>
      <c r="Z423" s="3"/>
    </row>
    <row r="424" spans="11:26" ht="15.75" customHeight="1" x14ac:dyDescent="0.3">
      <c r="K424" s="79"/>
      <c r="L424" s="79"/>
      <c r="M424" s="3"/>
      <c r="N424" s="3"/>
      <c r="O424" s="3"/>
      <c r="P424" s="3"/>
      <c r="Q424" s="6"/>
      <c r="R424" s="3"/>
      <c r="S424" s="3"/>
      <c r="T424" s="3"/>
      <c r="U424" s="3"/>
      <c r="V424" s="3"/>
      <c r="W424" s="3"/>
      <c r="X424" s="3"/>
      <c r="Y424" s="3"/>
      <c r="Z424" s="3"/>
    </row>
    <row r="425" spans="11:26" ht="15.75" customHeight="1" x14ac:dyDescent="0.3">
      <c r="K425" s="79"/>
      <c r="L425" s="79"/>
      <c r="M425" s="3"/>
      <c r="N425" s="3"/>
      <c r="O425" s="3"/>
      <c r="P425" s="3"/>
      <c r="Q425" s="6"/>
      <c r="R425" s="3"/>
      <c r="S425" s="3"/>
      <c r="T425" s="3"/>
      <c r="U425" s="3"/>
      <c r="V425" s="3"/>
      <c r="W425" s="3"/>
      <c r="X425" s="3"/>
      <c r="Y425" s="3"/>
      <c r="Z425" s="3"/>
    </row>
    <row r="426" spans="11:26" ht="15.75" customHeight="1" x14ac:dyDescent="0.3">
      <c r="K426" s="79"/>
      <c r="L426" s="79"/>
      <c r="M426" s="3"/>
      <c r="N426" s="3"/>
      <c r="O426" s="3"/>
      <c r="P426" s="3"/>
      <c r="Q426" s="6"/>
      <c r="R426" s="3"/>
      <c r="S426" s="3"/>
      <c r="T426" s="3"/>
      <c r="U426" s="3"/>
      <c r="V426" s="3"/>
      <c r="W426" s="3"/>
      <c r="X426" s="3"/>
      <c r="Y426" s="3"/>
      <c r="Z426" s="3"/>
    </row>
    <row r="427" spans="11:26" ht="15.75" customHeight="1" x14ac:dyDescent="0.3">
      <c r="K427" s="79"/>
      <c r="L427" s="79"/>
      <c r="M427" s="3"/>
      <c r="N427" s="3"/>
      <c r="O427" s="3"/>
      <c r="P427" s="3"/>
      <c r="Q427" s="6"/>
      <c r="R427" s="3"/>
      <c r="S427" s="3"/>
      <c r="T427" s="3"/>
      <c r="U427" s="3"/>
      <c r="V427" s="3"/>
      <c r="W427" s="3"/>
      <c r="X427" s="3"/>
      <c r="Y427" s="3"/>
      <c r="Z427" s="3"/>
    </row>
    <row r="428" spans="11:26" ht="15.75" customHeight="1" x14ac:dyDescent="0.3">
      <c r="K428" s="79"/>
      <c r="L428" s="79"/>
      <c r="M428" s="3"/>
      <c r="N428" s="3"/>
      <c r="O428" s="3"/>
      <c r="P428" s="3"/>
      <c r="Q428" s="6"/>
      <c r="R428" s="3"/>
      <c r="S428" s="3"/>
      <c r="T428" s="3"/>
      <c r="U428" s="3"/>
      <c r="V428" s="3"/>
      <c r="W428" s="3"/>
      <c r="X428" s="3"/>
      <c r="Y428" s="3"/>
      <c r="Z428" s="3"/>
    </row>
    <row r="429" spans="11:26" ht="15.75" customHeight="1" x14ac:dyDescent="0.3">
      <c r="K429" s="79"/>
      <c r="L429" s="79"/>
      <c r="M429" s="3"/>
      <c r="N429" s="3"/>
      <c r="O429" s="3"/>
      <c r="P429" s="3"/>
      <c r="Q429" s="6"/>
      <c r="R429" s="3"/>
      <c r="S429" s="3"/>
      <c r="T429" s="3"/>
      <c r="U429" s="3"/>
      <c r="V429" s="3"/>
      <c r="W429" s="3"/>
      <c r="X429" s="3"/>
      <c r="Y429" s="3"/>
      <c r="Z429" s="3"/>
    </row>
    <row r="430" spans="11:26" ht="15.75" customHeight="1" x14ac:dyDescent="0.3">
      <c r="K430" s="79"/>
      <c r="L430" s="79"/>
      <c r="M430" s="3"/>
      <c r="N430" s="3"/>
      <c r="O430" s="3"/>
      <c r="P430" s="3"/>
      <c r="Q430" s="6"/>
      <c r="R430" s="3"/>
      <c r="S430" s="3"/>
      <c r="T430" s="3"/>
      <c r="U430" s="3"/>
      <c r="V430" s="3"/>
      <c r="W430" s="3"/>
      <c r="X430" s="3"/>
      <c r="Y430" s="3"/>
      <c r="Z430" s="3"/>
    </row>
    <row r="431" spans="11:26" ht="15.75" customHeight="1" x14ac:dyDescent="0.3">
      <c r="K431" s="79"/>
      <c r="L431" s="79"/>
      <c r="M431" s="3"/>
      <c r="N431" s="3"/>
      <c r="O431" s="3"/>
      <c r="P431" s="3"/>
      <c r="Q431" s="6"/>
      <c r="R431" s="3"/>
      <c r="S431" s="3"/>
      <c r="T431" s="3"/>
      <c r="U431" s="3"/>
      <c r="V431" s="3"/>
      <c r="W431" s="3"/>
      <c r="X431" s="3"/>
      <c r="Y431" s="3"/>
      <c r="Z431" s="3"/>
    </row>
    <row r="432" spans="11:26" ht="15.75" customHeight="1" x14ac:dyDescent="0.3">
      <c r="K432" s="79"/>
      <c r="L432" s="79"/>
      <c r="M432" s="3"/>
      <c r="N432" s="3"/>
      <c r="O432" s="3"/>
      <c r="P432" s="3"/>
      <c r="Q432" s="6"/>
      <c r="R432" s="3"/>
      <c r="S432" s="3"/>
      <c r="T432" s="3"/>
      <c r="U432" s="3"/>
      <c r="V432" s="3"/>
      <c r="W432" s="3"/>
      <c r="X432" s="3"/>
      <c r="Y432" s="3"/>
      <c r="Z432" s="3"/>
    </row>
    <row r="433" spans="11:26" ht="15.75" customHeight="1" x14ac:dyDescent="0.3">
      <c r="K433" s="79"/>
      <c r="L433" s="79"/>
      <c r="M433" s="3"/>
      <c r="N433" s="3"/>
      <c r="O433" s="3"/>
      <c r="P433" s="3"/>
      <c r="Q433" s="6"/>
      <c r="R433" s="3"/>
      <c r="S433" s="3"/>
      <c r="T433" s="3"/>
      <c r="U433" s="3"/>
      <c r="V433" s="3"/>
      <c r="W433" s="3"/>
      <c r="X433" s="3"/>
      <c r="Y433" s="3"/>
      <c r="Z433" s="3"/>
    </row>
    <row r="434" spans="11:26" ht="15.75" customHeight="1" x14ac:dyDescent="0.3">
      <c r="K434" s="79"/>
      <c r="L434" s="79"/>
      <c r="M434" s="3"/>
      <c r="N434" s="3"/>
      <c r="O434" s="3"/>
      <c r="P434" s="3"/>
      <c r="Q434" s="6"/>
      <c r="R434" s="3"/>
      <c r="S434" s="3"/>
      <c r="T434" s="3"/>
      <c r="U434" s="3"/>
      <c r="V434" s="3"/>
      <c r="W434" s="3"/>
      <c r="X434" s="3"/>
      <c r="Y434" s="3"/>
      <c r="Z434" s="3"/>
    </row>
    <row r="435" spans="11:26" ht="15.75" customHeight="1" x14ac:dyDescent="0.3">
      <c r="K435" s="79"/>
      <c r="L435" s="79"/>
      <c r="M435" s="3"/>
      <c r="N435" s="3"/>
      <c r="O435" s="3"/>
      <c r="P435" s="3"/>
      <c r="Q435" s="6"/>
      <c r="R435" s="3"/>
      <c r="S435" s="3"/>
      <c r="T435" s="3"/>
      <c r="U435" s="3"/>
      <c r="V435" s="3"/>
      <c r="W435" s="3"/>
      <c r="X435" s="3"/>
      <c r="Y435" s="3"/>
      <c r="Z435" s="3"/>
    </row>
    <row r="436" spans="11:26" ht="15.75" customHeight="1" x14ac:dyDescent="0.3">
      <c r="K436" s="79"/>
      <c r="L436" s="79"/>
      <c r="M436" s="3"/>
      <c r="N436" s="3"/>
      <c r="O436" s="3"/>
      <c r="P436" s="3"/>
      <c r="Q436" s="6"/>
      <c r="R436" s="3"/>
      <c r="S436" s="3"/>
      <c r="T436" s="3"/>
      <c r="U436" s="3"/>
      <c r="V436" s="3"/>
      <c r="W436" s="3"/>
      <c r="X436" s="3"/>
      <c r="Y436" s="3"/>
      <c r="Z436" s="3"/>
    </row>
    <row r="437" spans="11:26" ht="15.75" customHeight="1" x14ac:dyDescent="0.3">
      <c r="K437" s="79"/>
      <c r="L437" s="79"/>
      <c r="M437" s="3"/>
      <c r="N437" s="3"/>
      <c r="O437" s="3"/>
      <c r="P437" s="3"/>
      <c r="Q437" s="6"/>
      <c r="R437" s="3"/>
      <c r="S437" s="3"/>
      <c r="T437" s="3"/>
      <c r="U437" s="3"/>
      <c r="V437" s="3"/>
      <c r="W437" s="3"/>
      <c r="X437" s="3"/>
      <c r="Y437" s="3"/>
      <c r="Z437" s="3"/>
    </row>
    <row r="438" spans="11:26" ht="15.75" customHeight="1" x14ac:dyDescent="0.3">
      <c r="K438" s="79"/>
      <c r="L438" s="79"/>
      <c r="M438" s="3"/>
      <c r="N438" s="3"/>
      <c r="O438" s="3"/>
      <c r="P438" s="3"/>
      <c r="Q438" s="6"/>
      <c r="R438" s="3"/>
      <c r="S438" s="3"/>
      <c r="T438" s="3"/>
      <c r="U438" s="3"/>
      <c r="V438" s="3"/>
      <c r="W438" s="3"/>
      <c r="X438" s="3"/>
      <c r="Y438" s="3"/>
      <c r="Z438" s="3"/>
    </row>
    <row r="439" spans="11:26" ht="15.75" customHeight="1" x14ac:dyDescent="0.3">
      <c r="K439" s="79"/>
      <c r="L439" s="79"/>
      <c r="M439" s="3"/>
      <c r="N439" s="3"/>
      <c r="O439" s="3"/>
      <c r="P439" s="3"/>
      <c r="Q439" s="6"/>
      <c r="R439" s="3"/>
      <c r="S439" s="3"/>
      <c r="T439" s="3"/>
      <c r="U439" s="3"/>
      <c r="V439" s="3"/>
      <c r="W439" s="3"/>
      <c r="X439" s="3"/>
      <c r="Y439" s="3"/>
      <c r="Z439" s="3"/>
    </row>
    <row r="440" spans="11:26" ht="15.75" customHeight="1" x14ac:dyDescent="0.3">
      <c r="K440" s="79"/>
      <c r="L440" s="79"/>
      <c r="M440" s="3"/>
      <c r="N440" s="3"/>
      <c r="O440" s="3"/>
      <c r="P440" s="3"/>
      <c r="Q440" s="6"/>
      <c r="R440" s="3"/>
      <c r="S440" s="3"/>
      <c r="T440" s="3"/>
      <c r="U440" s="3"/>
      <c r="V440" s="3"/>
      <c r="W440" s="3"/>
      <c r="X440" s="3"/>
      <c r="Y440" s="3"/>
      <c r="Z440" s="3"/>
    </row>
    <row r="441" spans="11:26" ht="15.75" customHeight="1" x14ac:dyDescent="0.3">
      <c r="K441" s="79"/>
      <c r="L441" s="79"/>
      <c r="M441" s="3"/>
      <c r="N441" s="3"/>
      <c r="O441" s="3"/>
      <c r="P441" s="3"/>
      <c r="Q441" s="6"/>
      <c r="R441" s="3"/>
      <c r="S441" s="3"/>
      <c r="T441" s="3"/>
      <c r="U441" s="3"/>
      <c r="V441" s="3"/>
      <c r="W441" s="3"/>
      <c r="X441" s="3"/>
      <c r="Y441" s="3"/>
      <c r="Z441" s="3"/>
    </row>
    <row r="442" spans="11:26" ht="15.75" customHeight="1" x14ac:dyDescent="0.3">
      <c r="K442" s="79"/>
      <c r="L442" s="79"/>
      <c r="M442" s="3"/>
      <c r="N442" s="3"/>
      <c r="O442" s="3"/>
      <c r="P442" s="3"/>
      <c r="Q442" s="6"/>
      <c r="R442" s="3"/>
      <c r="S442" s="3"/>
      <c r="T442" s="3"/>
      <c r="U442" s="3"/>
      <c r="V442" s="3"/>
      <c r="W442" s="3"/>
      <c r="X442" s="3"/>
      <c r="Y442" s="3"/>
      <c r="Z442" s="3"/>
    </row>
    <row r="443" spans="11:26" ht="15.75" customHeight="1" x14ac:dyDescent="0.3">
      <c r="K443" s="79"/>
      <c r="L443" s="79"/>
      <c r="M443" s="3"/>
      <c r="N443" s="3"/>
      <c r="O443" s="3"/>
      <c r="P443" s="3"/>
      <c r="Q443" s="6"/>
      <c r="R443" s="3"/>
      <c r="S443" s="3"/>
      <c r="T443" s="3"/>
      <c r="U443" s="3"/>
      <c r="V443" s="3"/>
      <c r="W443" s="3"/>
      <c r="X443" s="3"/>
      <c r="Y443" s="3"/>
      <c r="Z443" s="3"/>
    </row>
    <row r="444" spans="11:26" ht="15.75" customHeight="1" x14ac:dyDescent="0.3">
      <c r="K444" s="79"/>
      <c r="L444" s="79"/>
      <c r="M444" s="3"/>
      <c r="N444" s="3"/>
      <c r="O444" s="3"/>
      <c r="P444" s="3"/>
      <c r="Q444" s="6"/>
      <c r="R444" s="3"/>
      <c r="S444" s="3"/>
      <c r="T444" s="3"/>
      <c r="U444" s="3"/>
      <c r="V444" s="3"/>
      <c r="W444" s="3"/>
      <c r="X444" s="3"/>
      <c r="Y444" s="3"/>
      <c r="Z444" s="3"/>
    </row>
    <row r="445" spans="11:26" ht="15.75" customHeight="1" x14ac:dyDescent="0.3">
      <c r="K445" s="79"/>
      <c r="L445" s="79"/>
      <c r="M445" s="3"/>
      <c r="N445" s="3"/>
      <c r="O445" s="3"/>
      <c r="P445" s="3"/>
      <c r="Q445" s="6"/>
      <c r="R445" s="3"/>
      <c r="S445" s="3"/>
      <c r="T445" s="3"/>
      <c r="U445" s="3"/>
      <c r="V445" s="3"/>
      <c r="W445" s="3"/>
      <c r="X445" s="3"/>
      <c r="Y445" s="3"/>
      <c r="Z445" s="3"/>
    </row>
    <row r="446" spans="11:26" ht="15.75" customHeight="1" x14ac:dyDescent="0.3">
      <c r="K446" s="79"/>
      <c r="L446" s="79"/>
      <c r="M446" s="3"/>
      <c r="N446" s="3"/>
      <c r="O446" s="3"/>
      <c r="P446" s="3"/>
      <c r="Q446" s="6"/>
      <c r="R446" s="3"/>
      <c r="S446" s="3"/>
      <c r="T446" s="3"/>
      <c r="U446" s="3"/>
      <c r="V446" s="3"/>
      <c r="W446" s="3"/>
      <c r="X446" s="3"/>
      <c r="Y446" s="3"/>
      <c r="Z446" s="3"/>
    </row>
    <row r="447" spans="11:26" ht="15.75" customHeight="1" x14ac:dyDescent="0.3">
      <c r="K447" s="79"/>
      <c r="L447" s="79"/>
      <c r="M447" s="3"/>
      <c r="N447" s="3"/>
      <c r="O447" s="3"/>
      <c r="P447" s="3"/>
      <c r="Q447" s="6"/>
      <c r="R447" s="3"/>
      <c r="S447" s="3"/>
      <c r="T447" s="3"/>
      <c r="U447" s="3"/>
      <c r="V447" s="3"/>
      <c r="W447" s="3"/>
      <c r="X447" s="3"/>
      <c r="Y447" s="3"/>
      <c r="Z447" s="3"/>
    </row>
    <row r="448" spans="11:26" ht="15.75" customHeight="1" x14ac:dyDescent="0.3">
      <c r="K448" s="79"/>
      <c r="L448" s="79"/>
      <c r="M448" s="3"/>
      <c r="N448" s="3"/>
      <c r="O448" s="3"/>
      <c r="P448" s="3"/>
      <c r="Q448" s="6"/>
      <c r="R448" s="3"/>
      <c r="S448" s="3"/>
      <c r="T448" s="3"/>
      <c r="U448" s="3"/>
      <c r="V448" s="3"/>
      <c r="W448" s="3"/>
      <c r="X448" s="3"/>
      <c r="Y448" s="3"/>
      <c r="Z448" s="3"/>
    </row>
    <row r="449" spans="11:26" ht="15.75" customHeight="1" x14ac:dyDescent="0.3">
      <c r="K449" s="79"/>
      <c r="L449" s="79"/>
      <c r="M449" s="3"/>
      <c r="N449" s="3"/>
      <c r="O449" s="3"/>
      <c r="P449" s="3"/>
      <c r="Q449" s="6"/>
      <c r="R449" s="3"/>
      <c r="S449" s="3"/>
      <c r="T449" s="3"/>
      <c r="U449" s="3"/>
      <c r="V449" s="3"/>
      <c r="W449" s="3"/>
      <c r="X449" s="3"/>
      <c r="Y449" s="3"/>
      <c r="Z449" s="3"/>
    </row>
    <row r="450" spans="11:26" ht="15.75" customHeight="1" x14ac:dyDescent="0.3">
      <c r="K450" s="79"/>
      <c r="L450" s="79"/>
      <c r="M450" s="3"/>
      <c r="N450" s="3"/>
      <c r="O450" s="3"/>
      <c r="P450" s="3"/>
      <c r="Q450" s="6"/>
      <c r="R450" s="3"/>
      <c r="S450" s="3"/>
      <c r="T450" s="3"/>
      <c r="U450" s="3"/>
      <c r="V450" s="3"/>
      <c r="W450" s="3"/>
      <c r="X450" s="3"/>
      <c r="Y450" s="3"/>
      <c r="Z450" s="3"/>
    </row>
    <row r="451" spans="11:26" ht="15.75" customHeight="1" x14ac:dyDescent="0.3">
      <c r="K451" s="79"/>
      <c r="L451" s="79"/>
      <c r="M451" s="3"/>
      <c r="N451" s="3"/>
      <c r="O451" s="3"/>
      <c r="P451" s="3"/>
      <c r="Q451" s="6"/>
      <c r="R451" s="3"/>
      <c r="S451" s="3"/>
      <c r="T451" s="3"/>
      <c r="U451" s="3"/>
      <c r="V451" s="3"/>
      <c r="W451" s="3"/>
      <c r="X451" s="3"/>
      <c r="Y451" s="3"/>
      <c r="Z451" s="3"/>
    </row>
    <row r="452" spans="11:26" ht="15.75" customHeight="1" x14ac:dyDescent="0.3">
      <c r="K452" s="79"/>
      <c r="L452" s="79"/>
      <c r="M452" s="3"/>
      <c r="N452" s="3"/>
      <c r="O452" s="3"/>
      <c r="P452" s="3"/>
      <c r="Q452" s="6"/>
      <c r="R452" s="3"/>
      <c r="S452" s="3"/>
      <c r="T452" s="3"/>
      <c r="U452" s="3"/>
      <c r="V452" s="3"/>
      <c r="W452" s="3"/>
      <c r="X452" s="3"/>
      <c r="Y452" s="3"/>
      <c r="Z452" s="3"/>
    </row>
    <row r="453" spans="11:26" ht="15.75" customHeight="1" x14ac:dyDescent="0.3">
      <c r="K453" s="79"/>
      <c r="L453" s="79"/>
      <c r="M453" s="3"/>
      <c r="N453" s="3"/>
      <c r="O453" s="3"/>
      <c r="P453" s="3"/>
      <c r="Q453" s="6"/>
      <c r="R453" s="3"/>
      <c r="S453" s="3"/>
      <c r="T453" s="3"/>
      <c r="U453" s="3"/>
      <c r="V453" s="3"/>
      <c r="W453" s="3"/>
      <c r="X453" s="3"/>
      <c r="Y453" s="3"/>
      <c r="Z453" s="3"/>
    </row>
    <row r="454" spans="11:26" ht="15.75" customHeight="1" x14ac:dyDescent="0.3">
      <c r="K454" s="79"/>
      <c r="L454" s="79"/>
      <c r="M454" s="3"/>
      <c r="N454" s="3"/>
      <c r="O454" s="3"/>
      <c r="P454" s="3"/>
      <c r="Q454" s="6"/>
      <c r="R454" s="3"/>
      <c r="S454" s="3"/>
      <c r="T454" s="3"/>
      <c r="U454" s="3"/>
      <c r="V454" s="3"/>
      <c r="W454" s="3"/>
      <c r="X454" s="3"/>
      <c r="Y454" s="3"/>
      <c r="Z454" s="3"/>
    </row>
    <row r="455" spans="11:26" ht="15.75" customHeight="1" x14ac:dyDescent="0.3">
      <c r="K455" s="79"/>
      <c r="L455" s="79"/>
      <c r="M455" s="3"/>
      <c r="N455" s="3"/>
      <c r="O455" s="3"/>
      <c r="P455" s="3"/>
      <c r="Q455" s="6"/>
      <c r="R455" s="3"/>
      <c r="S455" s="3"/>
      <c r="T455" s="3"/>
      <c r="U455" s="3"/>
      <c r="V455" s="3"/>
      <c r="W455" s="3"/>
      <c r="X455" s="3"/>
      <c r="Y455" s="3"/>
      <c r="Z455" s="3"/>
    </row>
    <row r="456" spans="11:26" ht="15.75" customHeight="1" x14ac:dyDescent="0.3">
      <c r="K456" s="79"/>
      <c r="L456" s="79"/>
      <c r="M456" s="3"/>
      <c r="N456" s="3"/>
      <c r="O456" s="3"/>
      <c r="P456" s="3"/>
      <c r="Q456" s="6"/>
      <c r="R456" s="3"/>
      <c r="S456" s="3"/>
      <c r="T456" s="3"/>
      <c r="U456" s="3"/>
      <c r="V456" s="3"/>
      <c r="W456" s="3"/>
      <c r="X456" s="3"/>
      <c r="Y456" s="3"/>
      <c r="Z456" s="3"/>
    </row>
    <row r="457" spans="11:26" ht="15.75" customHeight="1" x14ac:dyDescent="0.3">
      <c r="K457" s="79"/>
      <c r="L457" s="79"/>
      <c r="M457" s="3"/>
      <c r="N457" s="3"/>
      <c r="O457" s="3"/>
      <c r="P457" s="3"/>
      <c r="Q457" s="6"/>
      <c r="R457" s="3"/>
      <c r="S457" s="3"/>
      <c r="T457" s="3"/>
      <c r="U457" s="3"/>
      <c r="V457" s="3"/>
      <c r="W457" s="3"/>
      <c r="X457" s="3"/>
      <c r="Y457" s="3"/>
      <c r="Z457" s="3"/>
    </row>
    <row r="458" spans="11:26" ht="15.75" customHeight="1" x14ac:dyDescent="0.3">
      <c r="K458" s="79"/>
      <c r="L458" s="79"/>
      <c r="M458" s="3"/>
      <c r="N458" s="3"/>
      <c r="O458" s="3"/>
      <c r="P458" s="3"/>
      <c r="Q458" s="6"/>
      <c r="R458" s="3"/>
      <c r="S458" s="3"/>
      <c r="T458" s="3"/>
      <c r="U458" s="3"/>
      <c r="V458" s="3"/>
      <c r="W458" s="3"/>
      <c r="X458" s="3"/>
      <c r="Y458" s="3"/>
      <c r="Z458" s="3"/>
    </row>
    <row r="459" spans="11:26" ht="15.75" customHeight="1" x14ac:dyDescent="0.3">
      <c r="K459" s="79"/>
      <c r="L459" s="79"/>
      <c r="M459" s="3"/>
      <c r="N459" s="3"/>
      <c r="O459" s="3"/>
      <c r="P459" s="3"/>
      <c r="Q459" s="6"/>
      <c r="R459" s="3"/>
      <c r="S459" s="3"/>
      <c r="T459" s="3"/>
      <c r="U459" s="3"/>
      <c r="V459" s="3"/>
      <c r="W459" s="3"/>
      <c r="X459" s="3"/>
      <c r="Y459" s="3"/>
      <c r="Z459" s="3"/>
    </row>
    <row r="460" spans="11:26" ht="15.75" customHeight="1" x14ac:dyDescent="0.3">
      <c r="K460" s="79"/>
      <c r="L460" s="79"/>
      <c r="M460" s="3"/>
      <c r="N460" s="3"/>
      <c r="O460" s="3"/>
      <c r="P460" s="3"/>
      <c r="Q460" s="6"/>
      <c r="R460" s="3"/>
      <c r="S460" s="3"/>
      <c r="T460" s="3"/>
      <c r="U460" s="3"/>
      <c r="V460" s="3"/>
      <c r="W460" s="3"/>
      <c r="X460" s="3"/>
      <c r="Y460" s="3"/>
      <c r="Z460" s="3"/>
    </row>
    <row r="461" spans="11:26" ht="15.75" customHeight="1" x14ac:dyDescent="0.3">
      <c r="K461" s="79"/>
      <c r="L461" s="79"/>
      <c r="M461" s="3"/>
      <c r="N461" s="3"/>
      <c r="O461" s="3"/>
      <c r="P461" s="3"/>
      <c r="Q461" s="6"/>
      <c r="R461" s="3"/>
      <c r="S461" s="3"/>
      <c r="T461" s="3"/>
      <c r="U461" s="3"/>
      <c r="V461" s="3"/>
      <c r="W461" s="3"/>
      <c r="X461" s="3"/>
      <c r="Y461" s="3"/>
      <c r="Z461" s="3"/>
    </row>
    <row r="462" spans="11:26" ht="15.75" customHeight="1" x14ac:dyDescent="0.3">
      <c r="K462" s="79"/>
      <c r="L462" s="79"/>
      <c r="M462" s="3"/>
      <c r="N462" s="3"/>
      <c r="O462" s="3"/>
      <c r="P462" s="3"/>
      <c r="Q462" s="6"/>
      <c r="R462" s="3"/>
      <c r="S462" s="3"/>
      <c r="T462" s="3"/>
      <c r="U462" s="3"/>
      <c r="V462" s="3"/>
      <c r="W462" s="3"/>
      <c r="X462" s="3"/>
      <c r="Y462" s="3"/>
      <c r="Z462" s="3"/>
    </row>
    <row r="463" spans="11:26" ht="15.75" customHeight="1" x14ac:dyDescent="0.3">
      <c r="K463" s="79"/>
      <c r="L463" s="79"/>
      <c r="M463" s="3"/>
      <c r="N463" s="3"/>
      <c r="O463" s="3"/>
      <c r="P463" s="3"/>
      <c r="Q463" s="6"/>
      <c r="R463" s="3"/>
      <c r="S463" s="3"/>
      <c r="T463" s="3"/>
      <c r="U463" s="3"/>
      <c r="V463" s="3"/>
      <c r="W463" s="3"/>
      <c r="X463" s="3"/>
      <c r="Y463" s="3"/>
      <c r="Z463" s="3"/>
    </row>
    <row r="464" spans="11:26" ht="15.75" customHeight="1" x14ac:dyDescent="0.3">
      <c r="K464" s="79"/>
      <c r="L464" s="79"/>
      <c r="M464" s="3"/>
      <c r="N464" s="3"/>
      <c r="O464" s="3"/>
      <c r="P464" s="3"/>
      <c r="Q464" s="6"/>
      <c r="R464" s="3"/>
      <c r="S464" s="3"/>
      <c r="T464" s="3"/>
      <c r="U464" s="3"/>
      <c r="V464" s="3"/>
      <c r="W464" s="3"/>
      <c r="X464" s="3"/>
      <c r="Y464" s="3"/>
      <c r="Z464" s="3"/>
    </row>
    <row r="465" spans="11:26" ht="15.75" customHeight="1" x14ac:dyDescent="0.3">
      <c r="K465" s="79"/>
      <c r="L465" s="79"/>
      <c r="M465" s="3"/>
      <c r="N465" s="3"/>
      <c r="O465" s="3"/>
      <c r="P465" s="3"/>
      <c r="Q465" s="6"/>
      <c r="R465" s="3"/>
      <c r="S465" s="3"/>
      <c r="T465" s="3"/>
      <c r="U465" s="3"/>
      <c r="V465" s="3"/>
      <c r="W465" s="3"/>
      <c r="X465" s="3"/>
      <c r="Y465" s="3"/>
      <c r="Z465" s="3"/>
    </row>
    <row r="466" spans="11:26" ht="15.75" customHeight="1" x14ac:dyDescent="0.3">
      <c r="K466" s="79"/>
      <c r="L466" s="79"/>
      <c r="M466" s="3"/>
      <c r="N466" s="3"/>
      <c r="O466" s="3"/>
      <c r="P466" s="3"/>
      <c r="Q466" s="6"/>
      <c r="R466" s="3"/>
      <c r="S466" s="3"/>
      <c r="T466" s="3"/>
      <c r="U466" s="3"/>
      <c r="V466" s="3"/>
      <c r="W466" s="3"/>
      <c r="X466" s="3"/>
      <c r="Y466" s="3"/>
      <c r="Z466" s="3"/>
    </row>
    <row r="467" spans="11:26" ht="15.75" customHeight="1" x14ac:dyDescent="0.3">
      <c r="K467" s="79"/>
      <c r="L467" s="79"/>
      <c r="M467" s="3"/>
      <c r="N467" s="3"/>
      <c r="O467" s="3"/>
      <c r="P467" s="3"/>
      <c r="Q467" s="6"/>
      <c r="R467" s="3"/>
      <c r="S467" s="3"/>
      <c r="T467" s="3"/>
      <c r="U467" s="3"/>
      <c r="V467" s="3"/>
      <c r="W467" s="3"/>
      <c r="X467" s="3"/>
      <c r="Y467" s="3"/>
      <c r="Z467" s="3"/>
    </row>
    <row r="468" spans="11:26" ht="15.75" customHeight="1" x14ac:dyDescent="0.3">
      <c r="K468" s="79"/>
      <c r="L468" s="79"/>
      <c r="M468" s="3"/>
      <c r="N468" s="3"/>
      <c r="O468" s="3"/>
      <c r="P468" s="3"/>
      <c r="Q468" s="6"/>
      <c r="R468" s="3"/>
      <c r="S468" s="3"/>
      <c r="T468" s="3"/>
      <c r="U468" s="3"/>
      <c r="V468" s="3"/>
      <c r="W468" s="3"/>
      <c r="X468" s="3"/>
      <c r="Y468" s="3"/>
      <c r="Z468" s="3"/>
    </row>
    <row r="469" spans="11:26" ht="15.75" customHeight="1" x14ac:dyDescent="0.3">
      <c r="K469" s="79"/>
      <c r="L469" s="79"/>
      <c r="M469" s="3"/>
      <c r="N469" s="3"/>
      <c r="O469" s="3"/>
      <c r="P469" s="3"/>
      <c r="Q469" s="6"/>
      <c r="R469" s="3"/>
      <c r="S469" s="3"/>
      <c r="T469" s="3"/>
      <c r="U469" s="3"/>
      <c r="V469" s="3"/>
      <c r="W469" s="3"/>
      <c r="X469" s="3"/>
      <c r="Y469" s="3"/>
      <c r="Z469" s="3"/>
    </row>
    <row r="470" spans="11:26" ht="15.75" customHeight="1" x14ac:dyDescent="0.3">
      <c r="K470" s="79"/>
      <c r="L470" s="79"/>
      <c r="M470" s="3"/>
      <c r="N470" s="3"/>
      <c r="O470" s="3"/>
      <c r="P470" s="3"/>
      <c r="Q470" s="6"/>
      <c r="R470" s="3"/>
      <c r="S470" s="3"/>
      <c r="T470" s="3"/>
      <c r="U470" s="3"/>
      <c r="V470" s="3"/>
      <c r="W470" s="3"/>
      <c r="X470" s="3"/>
      <c r="Y470" s="3"/>
      <c r="Z470" s="3"/>
    </row>
    <row r="471" spans="11:26" ht="15.75" customHeight="1" x14ac:dyDescent="0.3">
      <c r="K471" s="79"/>
      <c r="L471" s="79"/>
      <c r="M471" s="3"/>
      <c r="N471" s="3"/>
      <c r="O471" s="3"/>
      <c r="P471" s="3"/>
      <c r="Q471" s="6"/>
      <c r="R471" s="3"/>
      <c r="S471" s="3"/>
      <c r="T471" s="3"/>
      <c r="U471" s="3"/>
      <c r="V471" s="3"/>
      <c r="W471" s="3"/>
      <c r="X471" s="3"/>
      <c r="Y471" s="3"/>
      <c r="Z471" s="3"/>
    </row>
    <row r="472" spans="11:26" ht="15.75" customHeight="1" x14ac:dyDescent="0.3">
      <c r="K472" s="79"/>
      <c r="L472" s="79"/>
      <c r="M472" s="3"/>
      <c r="N472" s="3"/>
      <c r="O472" s="3"/>
      <c r="P472" s="3"/>
      <c r="Q472" s="6"/>
      <c r="R472" s="3"/>
      <c r="S472" s="3"/>
      <c r="T472" s="3"/>
      <c r="U472" s="3"/>
      <c r="V472" s="3"/>
      <c r="W472" s="3"/>
      <c r="X472" s="3"/>
      <c r="Y472" s="3"/>
      <c r="Z472" s="3"/>
    </row>
    <row r="473" spans="11:26" ht="15.75" customHeight="1" x14ac:dyDescent="0.3">
      <c r="K473" s="79"/>
      <c r="L473" s="79"/>
      <c r="M473" s="3"/>
      <c r="N473" s="3"/>
      <c r="O473" s="3"/>
      <c r="P473" s="3"/>
      <c r="Q473" s="6"/>
      <c r="R473" s="3"/>
      <c r="S473" s="3"/>
      <c r="T473" s="3"/>
      <c r="U473" s="3"/>
      <c r="V473" s="3"/>
      <c r="W473" s="3"/>
      <c r="X473" s="3"/>
      <c r="Y473" s="3"/>
      <c r="Z473" s="3"/>
    </row>
    <row r="474" spans="11:26" ht="15.75" customHeight="1" x14ac:dyDescent="0.3">
      <c r="K474" s="79"/>
      <c r="L474" s="79"/>
      <c r="M474" s="3"/>
      <c r="N474" s="3"/>
      <c r="O474" s="3"/>
      <c r="P474" s="3"/>
      <c r="Q474" s="6"/>
      <c r="R474" s="3"/>
      <c r="S474" s="3"/>
      <c r="T474" s="3"/>
      <c r="U474" s="3"/>
      <c r="V474" s="3"/>
      <c r="W474" s="3"/>
      <c r="X474" s="3"/>
      <c r="Y474" s="3"/>
      <c r="Z474" s="3"/>
    </row>
    <row r="475" spans="11:26" ht="15.75" customHeight="1" x14ac:dyDescent="0.3">
      <c r="K475" s="79"/>
      <c r="L475" s="79"/>
      <c r="M475" s="3"/>
      <c r="N475" s="3"/>
      <c r="O475" s="3"/>
      <c r="P475" s="3"/>
      <c r="Q475" s="6"/>
      <c r="R475" s="3"/>
      <c r="S475" s="3"/>
      <c r="T475" s="3"/>
      <c r="U475" s="3"/>
      <c r="V475" s="3"/>
      <c r="W475" s="3"/>
      <c r="X475" s="3"/>
      <c r="Y475" s="3"/>
      <c r="Z475" s="3"/>
    </row>
    <row r="476" spans="11:26" ht="15.75" customHeight="1" x14ac:dyDescent="0.3">
      <c r="K476" s="79"/>
      <c r="L476" s="79"/>
      <c r="M476" s="3"/>
      <c r="N476" s="3"/>
      <c r="O476" s="3"/>
      <c r="P476" s="3"/>
      <c r="Q476" s="6"/>
      <c r="R476" s="3"/>
      <c r="S476" s="3"/>
      <c r="T476" s="3"/>
      <c r="U476" s="3"/>
      <c r="V476" s="3"/>
      <c r="W476" s="3"/>
      <c r="X476" s="3"/>
      <c r="Y476" s="3"/>
      <c r="Z476" s="3"/>
    </row>
    <row r="477" spans="11:26" ht="15.75" customHeight="1" x14ac:dyDescent="0.3">
      <c r="K477" s="79"/>
      <c r="L477" s="79"/>
      <c r="M477" s="3"/>
      <c r="N477" s="3"/>
      <c r="O477" s="3"/>
      <c r="P477" s="3"/>
      <c r="Q477" s="6"/>
      <c r="R477" s="3"/>
      <c r="S477" s="3"/>
      <c r="T477" s="3"/>
      <c r="U477" s="3"/>
      <c r="V477" s="3"/>
      <c r="W477" s="3"/>
      <c r="X477" s="3"/>
      <c r="Y477" s="3"/>
      <c r="Z477" s="3"/>
    </row>
    <row r="478" spans="11:26" ht="15.75" customHeight="1" x14ac:dyDescent="0.3">
      <c r="K478" s="79"/>
      <c r="L478" s="79"/>
      <c r="M478" s="3"/>
      <c r="N478" s="3"/>
      <c r="O478" s="3"/>
      <c r="P478" s="3"/>
      <c r="Q478" s="6"/>
      <c r="R478" s="3"/>
      <c r="S478" s="3"/>
      <c r="T478" s="3"/>
      <c r="U478" s="3"/>
      <c r="V478" s="3"/>
      <c r="W478" s="3"/>
      <c r="X478" s="3"/>
      <c r="Y478" s="3"/>
      <c r="Z478" s="3"/>
    </row>
    <row r="479" spans="11:26" ht="15.75" customHeight="1" x14ac:dyDescent="0.3">
      <c r="K479" s="79"/>
      <c r="L479" s="79"/>
      <c r="M479" s="3"/>
      <c r="N479" s="3"/>
      <c r="O479" s="3"/>
      <c r="P479" s="3"/>
      <c r="Q479" s="6"/>
      <c r="R479" s="3"/>
      <c r="S479" s="3"/>
      <c r="T479" s="3"/>
      <c r="U479" s="3"/>
      <c r="V479" s="3"/>
      <c r="W479" s="3"/>
      <c r="X479" s="3"/>
      <c r="Y479" s="3"/>
      <c r="Z479" s="3"/>
    </row>
    <row r="480" spans="11:26" ht="15.75" customHeight="1" x14ac:dyDescent="0.3">
      <c r="K480" s="79"/>
      <c r="L480" s="79"/>
      <c r="M480" s="3"/>
      <c r="N480" s="3"/>
      <c r="O480" s="3"/>
      <c r="P480" s="3"/>
      <c r="Q480" s="6"/>
      <c r="R480" s="3"/>
      <c r="S480" s="3"/>
      <c r="T480" s="3"/>
      <c r="U480" s="3"/>
      <c r="V480" s="3"/>
      <c r="W480" s="3"/>
      <c r="X480" s="3"/>
      <c r="Y480" s="3"/>
      <c r="Z480" s="3"/>
    </row>
    <row r="481" spans="11:26" ht="15.75" customHeight="1" x14ac:dyDescent="0.3">
      <c r="K481" s="79"/>
      <c r="L481" s="79"/>
      <c r="M481" s="3"/>
      <c r="N481" s="3"/>
      <c r="O481" s="3"/>
      <c r="P481" s="3"/>
      <c r="Q481" s="6"/>
      <c r="R481" s="3"/>
      <c r="S481" s="3"/>
      <c r="T481" s="3"/>
      <c r="U481" s="3"/>
      <c r="V481" s="3"/>
      <c r="W481" s="3"/>
      <c r="X481" s="3"/>
      <c r="Y481" s="3"/>
      <c r="Z481" s="3"/>
    </row>
    <row r="482" spans="11:26" ht="15.75" customHeight="1" x14ac:dyDescent="0.3">
      <c r="K482" s="79"/>
      <c r="L482" s="79"/>
      <c r="M482" s="3"/>
      <c r="N482" s="3"/>
      <c r="O482" s="3"/>
      <c r="P482" s="3"/>
      <c r="Q482" s="6"/>
      <c r="R482" s="3"/>
      <c r="S482" s="3"/>
      <c r="T482" s="3"/>
      <c r="U482" s="3"/>
      <c r="V482" s="3"/>
      <c r="W482" s="3"/>
      <c r="X482" s="3"/>
      <c r="Y482" s="3"/>
      <c r="Z482" s="3"/>
    </row>
    <row r="483" spans="11:26" ht="15.75" customHeight="1" x14ac:dyDescent="0.3">
      <c r="K483" s="79"/>
      <c r="L483" s="79"/>
      <c r="M483" s="3"/>
      <c r="N483" s="3"/>
      <c r="O483" s="3"/>
      <c r="P483" s="3"/>
      <c r="Q483" s="6"/>
      <c r="R483" s="3"/>
      <c r="S483" s="3"/>
      <c r="T483" s="3"/>
      <c r="U483" s="3"/>
      <c r="V483" s="3"/>
      <c r="W483" s="3"/>
      <c r="X483" s="3"/>
      <c r="Y483" s="3"/>
      <c r="Z483" s="3"/>
    </row>
    <row r="484" spans="11:26" ht="15.75" customHeight="1" x14ac:dyDescent="0.3">
      <c r="K484" s="79"/>
      <c r="L484" s="79"/>
      <c r="M484" s="3"/>
      <c r="N484" s="3"/>
      <c r="O484" s="3"/>
      <c r="P484" s="3"/>
      <c r="Q484" s="6"/>
      <c r="R484" s="3"/>
      <c r="S484" s="3"/>
      <c r="T484" s="3"/>
      <c r="U484" s="3"/>
      <c r="V484" s="3"/>
      <c r="W484" s="3"/>
      <c r="X484" s="3"/>
      <c r="Y484" s="3"/>
      <c r="Z484" s="3"/>
    </row>
    <row r="485" spans="11:26" ht="15.75" customHeight="1" x14ac:dyDescent="0.3">
      <c r="K485" s="79"/>
      <c r="L485" s="79"/>
      <c r="M485" s="3"/>
      <c r="N485" s="3"/>
      <c r="O485" s="3"/>
      <c r="P485" s="3"/>
      <c r="Q485" s="6"/>
      <c r="R485" s="3"/>
      <c r="S485" s="3"/>
      <c r="T485" s="3"/>
      <c r="U485" s="3"/>
      <c r="V485" s="3"/>
      <c r="W485" s="3"/>
      <c r="X485" s="3"/>
      <c r="Y485" s="3"/>
      <c r="Z485" s="3"/>
    </row>
    <row r="486" spans="11:26" ht="15.75" customHeight="1" x14ac:dyDescent="0.3">
      <c r="K486" s="79"/>
      <c r="L486" s="79"/>
      <c r="M486" s="3"/>
      <c r="N486" s="3"/>
      <c r="O486" s="3"/>
      <c r="P486" s="3"/>
      <c r="Q486" s="6"/>
      <c r="R486" s="3"/>
      <c r="S486" s="3"/>
      <c r="T486" s="3"/>
      <c r="U486" s="3"/>
      <c r="V486" s="3"/>
      <c r="W486" s="3"/>
      <c r="X486" s="3"/>
      <c r="Y486" s="3"/>
      <c r="Z486" s="3"/>
    </row>
    <row r="487" spans="11:26" ht="15.75" customHeight="1" x14ac:dyDescent="0.3">
      <c r="K487" s="79"/>
      <c r="L487" s="79"/>
      <c r="M487" s="3"/>
      <c r="N487" s="3"/>
      <c r="O487" s="3"/>
      <c r="P487" s="3"/>
      <c r="Q487" s="6"/>
      <c r="R487" s="3"/>
      <c r="S487" s="3"/>
      <c r="T487" s="3"/>
      <c r="U487" s="3"/>
      <c r="V487" s="3"/>
      <c r="W487" s="3"/>
      <c r="X487" s="3"/>
      <c r="Y487" s="3"/>
      <c r="Z487" s="3"/>
    </row>
    <row r="488" spans="11:26" ht="15.75" customHeight="1" x14ac:dyDescent="0.3">
      <c r="K488" s="79"/>
      <c r="L488" s="79"/>
      <c r="M488" s="3"/>
      <c r="N488" s="3"/>
      <c r="O488" s="3"/>
      <c r="P488" s="3"/>
      <c r="Q488" s="6"/>
      <c r="R488" s="3"/>
      <c r="S488" s="3"/>
      <c r="T488" s="3"/>
      <c r="U488" s="3"/>
      <c r="V488" s="3"/>
      <c r="W488" s="3"/>
      <c r="X488" s="3"/>
      <c r="Y488" s="3"/>
      <c r="Z488" s="3"/>
    </row>
    <row r="489" spans="11:26" ht="15.75" customHeight="1" x14ac:dyDescent="0.3">
      <c r="K489" s="79"/>
      <c r="L489" s="79"/>
      <c r="M489" s="3"/>
      <c r="N489" s="3"/>
      <c r="O489" s="3"/>
      <c r="P489" s="3"/>
      <c r="Q489" s="6"/>
      <c r="R489" s="3"/>
      <c r="S489" s="3"/>
      <c r="T489" s="3"/>
      <c r="U489" s="3"/>
      <c r="V489" s="3"/>
      <c r="W489" s="3"/>
      <c r="X489" s="3"/>
      <c r="Y489" s="3"/>
      <c r="Z489" s="3"/>
    </row>
    <row r="490" spans="11:26" ht="15.75" customHeight="1" x14ac:dyDescent="0.3">
      <c r="K490" s="79"/>
      <c r="L490" s="79"/>
      <c r="M490" s="3"/>
      <c r="N490" s="3"/>
      <c r="O490" s="3"/>
      <c r="P490" s="3"/>
      <c r="Q490" s="6"/>
      <c r="R490" s="3"/>
      <c r="S490" s="3"/>
      <c r="T490" s="3"/>
      <c r="U490" s="3"/>
      <c r="V490" s="3"/>
      <c r="W490" s="3"/>
      <c r="X490" s="3"/>
      <c r="Y490" s="3"/>
      <c r="Z490" s="3"/>
    </row>
    <row r="491" spans="11:26" ht="15.75" customHeight="1" x14ac:dyDescent="0.3">
      <c r="K491" s="79"/>
      <c r="L491" s="79"/>
      <c r="M491" s="3"/>
      <c r="N491" s="3"/>
      <c r="O491" s="3"/>
      <c r="P491" s="3"/>
      <c r="Q491" s="6"/>
      <c r="R491" s="3"/>
      <c r="S491" s="3"/>
      <c r="T491" s="3"/>
      <c r="U491" s="3"/>
      <c r="V491" s="3"/>
      <c r="W491" s="3"/>
      <c r="X491" s="3"/>
      <c r="Y491" s="3"/>
      <c r="Z491" s="3"/>
    </row>
    <row r="492" spans="11:26" ht="15.75" customHeight="1" x14ac:dyDescent="0.3">
      <c r="K492" s="79"/>
      <c r="L492" s="79"/>
      <c r="M492" s="3"/>
      <c r="N492" s="3"/>
      <c r="O492" s="3"/>
      <c r="P492" s="3"/>
      <c r="Q492" s="6"/>
      <c r="R492" s="3"/>
      <c r="S492" s="3"/>
      <c r="T492" s="3"/>
      <c r="U492" s="3"/>
      <c r="V492" s="3"/>
      <c r="W492" s="3"/>
      <c r="X492" s="3"/>
      <c r="Y492" s="3"/>
      <c r="Z492" s="3"/>
    </row>
    <row r="493" spans="11:26" ht="15.75" customHeight="1" x14ac:dyDescent="0.3">
      <c r="K493" s="79"/>
      <c r="L493" s="79"/>
      <c r="M493" s="3"/>
      <c r="N493" s="3"/>
      <c r="O493" s="3"/>
      <c r="P493" s="3"/>
      <c r="Q493" s="6"/>
      <c r="R493" s="3"/>
      <c r="S493" s="3"/>
      <c r="T493" s="3"/>
      <c r="U493" s="3"/>
      <c r="V493" s="3"/>
      <c r="W493" s="3"/>
      <c r="X493" s="3"/>
      <c r="Y493" s="3"/>
      <c r="Z493" s="3"/>
    </row>
    <row r="494" spans="11:26" ht="15.75" customHeight="1" x14ac:dyDescent="0.3">
      <c r="K494" s="79"/>
      <c r="L494" s="79"/>
      <c r="M494" s="3"/>
      <c r="N494" s="3"/>
      <c r="O494" s="3"/>
      <c r="P494" s="3"/>
      <c r="Q494" s="6"/>
      <c r="R494" s="3"/>
      <c r="S494" s="3"/>
      <c r="T494" s="3"/>
      <c r="U494" s="3"/>
      <c r="V494" s="3"/>
      <c r="W494" s="3"/>
      <c r="X494" s="3"/>
      <c r="Y494" s="3"/>
      <c r="Z494" s="3"/>
    </row>
    <row r="495" spans="11:26" ht="15.75" customHeight="1" x14ac:dyDescent="0.3">
      <c r="K495" s="79"/>
      <c r="L495" s="79"/>
      <c r="M495" s="3"/>
      <c r="N495" s="3"/>
      <c r="O495" s="3"/>
      <c r="P495" s="3"/>
      <c r="Q495" s="6"/>
      <c r="R495" s="3"/>
      <c r="S495" s="3"/>
      <c r="T495" s="3"/>
      <c r="U495" s="3"/>
      <c r="V495" s="3"/>
      <c r="W495" s="3"/>
      <c r="X495" s="3"/>
      <c r="Y495" s="3"/>
      <c r="Z495" s="3"/>
    </row>
    <row r="496" spans="11:26" ht="15.75" customHeight="1" x14ac:dyDescent="0.3">
      <c r="K496" s="79"/>
      <c r="L496" s="79"/>
      <c r="M496" s="3"/>
      <c r="N496" s="3"/>
      <c r="O496" s="3"/>
      <c r="P496" s="3"/>
      <c r="Q496" s="6"/>
      <c r="R496" s="3"/>
      <c r="S496" s="3"/>
      <c r="T496" s="3"/>
      <c r="U496" s="3"/>
      <c r="V496" s="3"/>
      <c r="W496" s="3"/>
      <c r="X496" s="3"/>
      <c r="Y496" s="3"/>
      <c r="Z496" s="3"/>
    </row>
    <row r="497" spans="11:26" ht="15.75" customHeight="1" x14ac:dyDescent="0.3">
      <c r="K497" s="79"/>
      <c r="L497" s="79"/>
      <c r="M497" s="3"/>
      <c r="N497" s="3"/>
      <c r="O497" s="3"/>
      <c r="P497" s="3"/>
      <c r="Q497" s="6"/>
      <c r="R497" s="3"/>
      <c r="S497" s="3"/>
      <c r="T497" s="3"/>
      <c r="U497" s="3"/>
      <c r="V497" s="3"/>
      <c r="W497" s="3"/>
      <c r="X497" s="3"/>
      <c r="Y497" s="3"/>
      <c r="Z497" s="3"/>
    </row>
    <row r="498" spans="11:26" ht="15.75" customHeight="1" x14ac:dyDescent="0.3">
      <c r="K498" s="79"/>
      <c r="L498" s="79"/>
      <c r="M498" s="3"/>
      <c r="N498" s="3"/>
      <c r="O498" s="3"/>
      <c r="P498" s="3"/>
      <c r="Q498" s="6"/>
      <c r="R498" s="3"/>
      <c r="S498" s="3"/>
      <c r="T498" s="3"/>
      <c r="U498" s="3"/>
      <c r="V498" s="3"/>
      <c r="W498" s="3"/>
      <c r="X498" s="3"/>
      <c r="Y498" s="3"/>
      <c r="Z498" s="3"/>
    </row>
    <row r="499" spans="11:26" ht="15.75" customHeight="1" x14ac:dyDescent="0.3">
      <c r="K499" s="79"/>
      <c r="L499" s="79"/>
      <c r="M499" s="3"/>
      <c r="N499" s="3"/>
      <c r="O499" s="3"/>
      <c r="P499" s="3"/>
      <c r="Q499" s="6"/>
      <c r="R499" s="3"/>
      <c r="S499" s="3"/>
      <c r="T499" s="3"/>
      <c r="U499" s="3"/>
      <c r="V499" s="3"/>
      <c r="W499" s="3"/>
      <c r="X499" s="3"/>
      <c r="Y499" s="3"/>
      <c r="Z499" s="3"/>
    </row>
    <row r="500" spans="11:26" ht="15.75" customHeight="1" x14ac:dyDescent="0.3">
      <c r="K500" s="79"/>
      <c r="L500" s="79"/>
      <c r="M500" s="3"/>
      <c r="N500" s="3"/>
      <c r="O500" s="3"/>
      <c r="P500" s="3"/>
      <c r="Q500" s="6"/>
      <c r="R500" s="3"/>
      <c r="S500" s="3"/>
      <c r="T500" s="3"/>
      <c r="U500" s="3"/>
      <c r="V500" s="3"/>
      <c r="W500" s="3"/>
      <c r="X500" s="3"/>
      <c r="Y500" s="3"/>
      <c r="Z500" s="3"/>
    </row>
    <row r="501" spans="11:26" ht="15.75" customHeight="1" x14ac:dyDescent="0.3">
      <c r="K501" s="79"/>
      <c r="L501" s="79"/>
      <c r="M501" s="3"/>
      <c r="N501" s="3"/>
      <c r="O501" s="3"/>
      <c r="P501" s="3"/>
      <c r="Q501" s="6"/>
      <c r="R501" s="3"/>
      <c r="S501" s="3"/>
      <c r="T501" s="3"/>
      <c r="U501" s="3"/>
      <c r="V501" s="3"/>
      <c r="W501" s="3"/>
      <c r="X501" s="3"/>
      <c r="Y501" s="3"/>
      <c r="Z501" s="3"/>
    </row>
    <row r="502" spans="11:26" ht="15.75" customHeight="1" x14ac:dyDescent="0.3">
      <c r="K502" s="79"/>
      <c r="L502" s="79"/>
      <c r="M502" s="3"/>
      <c r="N502" s="3"/>
      <c r="O502" s="3"/>
      <c r="P502" s="3"/>
      <c r="Q502" s="6"/>
      <c r="R502" s="3"/>
      <c r="S502" s="3"/>
      <c r="T502" s="3"/>
      <c r="U502" s="3"/>
      <c r="V502" s="3"/>
      <c r="W502" s="3"/>
      <c r="X502" s="3"/>
      <c r="Y502" s="3"/>
      <c r="Z502" s="3"/>
    </row>
    <row r="503" spans="11:26" ht="15.75" customHeight="1" x14ac:dyDescent="0.3">
      <c r="K503" s="79"/>
      <c r="L503" s="79"/>
      <c r="M503" s="3"/>
      <c r="N503" s="3"/>
      <c r="O503" s="3"/>
      <c r="P503" s="3"/>
      <c r="Q503" s="6"/>
      <c r="R503" s="3"/>
      <c r="S503" s="3"/>
      <c r="T503" s="3"/>
      <c r="U503" s="3"/>
      <c r="V503" s="3"/>
      <c r="W503" s="3"/>
      <c r="X503" s="3"/>
      <c r="Y503" s="3"/>
      <c r="Z503" s="3"/>
    </row>
    <row r="504" spans="11:26" ht="15.75" customHeight="1" x14ac:dyDescent="0.3">
      <c r="K504" s="79"/>
      <c r="L504" s="79"/>
      <c r="M504" s="3"/>
      <c r="N504" s="3"/>
      <c r="O504" s="3"/>
      <c r="P504" s="3"/>
      <c r="Q504" s="6"/>
      <c r="R504" s="3"/>
      <c r="S504" s="3"/>
      <c r="T504" s="3"/>
      <c r="U504" s="3"/>
      <c r="V504" s="3"/>
      <c r="W504" s="3"/>
      <c r="X504" s="3"/>
      <c r="Y504" s="3"/>
      <c r="Z504" s="3"/>
    </row>
    <row r="505" spans="11:26" ht="15.75" customHeight="1" x14ac:dyDescent="0.3">
      <c r="K505" s="79"/>
      <c r="L505" s="79"/>
      <c r="M505" s="3"/>
      <c r="N505" s="3"/>
      <c r="O505" s="3"/>
      <c r="P505" s="3"/>
      <c r="Q505" s="6"/>
      <c r="R505" s="3"/>
      <c r="S505" s="3"/>
      <c r="T505" s="3"/>
      <c r="U505" s="3"/>
      <c r="V505" s="3"/>
      <c r="W505" s="3"/>
      <c r="X505" s="3"/>
      <c r="Y505" s="3"/>
      <c r="Z505" s="3"/>
    </row>
    <row r="506" spans="11:26" ht="15.75" customHeight="1" x14ac:dyDescent="0.3">
      <c r="K506" s="79"/>
      <c r="L506" s="79"/>
      <c r="M506" s="3"/>
      <c r="N506" s="3"/>
      <c r="O506" s="3"/>
      <c r="P506" s="3"/>
      <c r="Q506" s="6"/>
      <c r="R506" s="3"/>
      <c r="S506" s="3"/>
      <c r="T506" s="3"/>
      <c r="U506" s="3"/>
      <c r="V506" s="3"/>
      <c r="W506" s="3"/>
      <c r="X506" s="3"/>
      <c r="Y506" s="3"/>
      <c r="Z506" s="3"/>
    </row>
    <row r="507" spans="11:26" ht="15.75" customHeight="1" x14ac:dyDescent="0.3">
      <c r="K507" s="79"/>
      <c r="L507" s="79"/>
      <c r="M507" s="3"/>
      <c r="N507" s="3"/>
      <c r="O507" s="3"/>
      <c r="P507" s="3"/>
      <c r="Q507" s="6"/>
      <c r="R507" s="3"/>
      <c r="S507" s="3"/>
      <c r="T507" s="3"/>
      <c r="U507" s="3"/>
      <c r="V507" s="3"/>
      <c r="W507" s="3"/>
      <c r="X507" s="3"/>
      <c r="Y507" s="3"/>
      <c r="Z507" s="3"/>
    </row>
    <row r="508" spans="11:26" ht="15.75" customHeight="1" x14ac:dyDescent="0.3">
      <c r="K508" s="79"/>
      <c r="L508" s="79"/>
      <c r="M508" s="3"/>
      <c r="N508" s="3"/>
      <c r="O508" s="3"/>
      <c r="P508" s="3"/>
      <c r="Q508" s="6"/>
      <c r="R508" s="3"/>
      <c r="S508" s="3"/>
      <c r="T508" s="3"/>
      <c r="U508" s="3"/>
      <c r="V508" s="3"/>
      <c r="W508" s="3"/>
      <c r="X508" s="3"/>
      <c r="Y508" s="3"/>
      <c r="Z508" s="3"/>
    </row>
    <row r="509" spans="11:26" ht="15.75" customHeight="1" x14ac:dyDescent="0.3">
      <c r="K509" s="79"/>
      <c r="L509" s="79"/>
      <c r="M509" s="3"/>
      <c r="N509" s="3"/>
      <c r="O509" s="3"/>
      <c r="P509" s="3"/>
      <c r="Q509" s="6"/>
      <c r="R509" s="3"/>
      <c r="S509" s="3"/>
      <c r="T509" s="3"/>
      <c r="U509" s="3"/>
      <c r="V509" s="3"/>
      <c r="W509" s="3"/>
      <c r="X509" s="3"/>
      <c r="Y509" s="3"/>
      <c r="Z509" s="3"/>
    </row>
    <row r="510" spans="11:26" ht="15.75" customHeight="1" x14ac:dyDescent="0.3">
      <c r="K510" s="79"/>
      <c r="L510" s="79"/>
      <c r="M510" s="3"/>
      <c r="N510" s="3"/>
      <c r="O510" s="3"/>
      <c r="P510" s="3"/>
      <c r="Q510" s="6"/>
      <c r="R510" s="3"/>
      <c r="S510" s="3"/>
      <c r="T510" s="3"/>
      <c r="U510" s="3"/>
      <c r="V510" s="3"/>
      <c r="W510" s="3"/>
      <c r="X510" s="3"/>
      <c r="Y510" s="3"/>
      <c r="Z510" s="3"/>
    </row>
    <row r="511" spans="11:26" ht="15.75" customHeight="1" x14ac:dyDescent="0.3">
      <c r="K511" s="79"/>
      <c r="L511" s="79"/>
      <c r="M511" s="3"/>
      <c r="N511" s="3"/>
      <c r="O511" s="3"/>
      <c r="P511" s="3"/>
      <c r="Q511" s="6"/>
      <c r="R511" s="3"/>
      <c r="S511" s="3"/>
      <c r="T511" s="3"/>
      <c r="U511" s="3"/>
      <c r="V511" s="3"/>
      <c r="W511" s="3"/>
      <c r="X511" s="3"/>
      <c r="Y511" s="3"/>
      <c r="Z511" s="3"/>
    </row>
    <row r="512" spans="11:26" ht="15.75" customHeight="1" x14ac:dyDescent="0.3">
      <c r="K512" s="79"/>
      <c r="L512" s="79"/>
      <c r="M512" s="3"/>
      <c r="N512" s="3"/>
      <c r="O512" s="3"/>
      <c r="P512" s="3"/>
      <c r="Q512" s="6"/>
      <c r="R512" s="3"/>
      <c r="S512" s="3"/>
      <c r="T512" s="3"/>
      <c r="U512" s="3"/>
      <c r="V512" s="3"/>
      <c r="W512" s="3"/>
      <c r="X512" s="3"/>
      <c r="Y512" s="3"/>
      <c r="Z512" s="3"/>
    </row>
    <row r="513" spans="11:26" ht="15.75" customHeight="1" x14ac:dyDescent="0.3">
      <c r="K513" s="79"/>
      <c r="L513" s="79"/>
      <c r="M513" s="3"/>
      <c r="N513" s="3"/>
      <c r="O513" s="3"/>
      <c r="P513" s="3"/>
      <c r="Q513" s="6"/>
      <c r="R513" s="3"/>
      <c r="S513" s="3"/>
      <c r="T513" s="3"/>
      <c r="U513" s="3"/>
      <c r="V513" s="3"/>
      <c r="W513" s="3"/>
      <c r="X513" s="3"/>
      <c r="Y513" s="3"/>
      <c r="Z513" s="3"/>
    </row>
    <row r="514" spans="11:26" ht="15.75" customHeight="1" x14ac:dyDescent="0.3">
      <c r="K514" s="79"/>
      <c r="L514" s="79"/>
      <c r="M514" s="3"/>
      <c r="N514" s="3"/>
      <c r="O514" s="3"/>
      <c r="P514" s="3"/>
      <c r="Q514" s="6"/>
      <c r="R514" s="3"/>
      <c r="S514" s="3"/>
      <c r="T514" s="3"/>
      <c r="U514" s="3"/>
      <c r="V514" s="3"/>
      <c r="W514" s="3"/>
      <c r="X514" s="3"/>
      <c r="Y514" s="3"/>
      <c r="Z514" s="3"/>
    </row>
    <row r="515" spans="11:26" ht="15.75" customHeight="1" x14ac:dyDescent="0.3">
      <c r="K515" s="79"/>
      <c r="L515" s="79"/>
      <c r="M515" s="3"/>
      <c r="N515" s="3"/>
      <c r="O515" s="3"/>
      <c r="P515" s="3"/>
      <c r="Q515" s="6"/>
      <c r="R515" s="3"/>
      <c r="S515" s="3"/>
      <c r="T515" s="3"/>
      <c r="U515" s="3"/>
      <c r="V515" s="3"/>
      <c r="W515" s="3"/>
      <c r="X515" s="3"/>
      <c r="Y515" s="3"/>
      <c r="Z515" s="3"/>
    </row>
    <row r="516" spans="11:26" ht="15.75" customHeight="1" x14ac:dyDescent="0.3">
      <c r="K516" s="79"/>
      <c r="L516" s="79"/>
      <c r="M516" s="3"/>
      <c r="N516" s="3"/>
      <c r="O516" s="3"/>
      <c r="P516" s="3"/>
      <c r="Q516" s="6"/>
      <c r="R516" s="3"/>
      <c r="S516" s="3"/>
      <c r="T516" s="3"/>
      <c r="U516" s="3"/>
      <c r="V516" s="3"/>
      <c r="W516" s="3"/>
      <c r="X516" s="3"/>
      <c r="Y516" s="3"/>
      <c r="Z516" s="3"/>
    </row>
    <row r="517" spans="11:26" ht="15.75" customHeight="1" x14ac:dyDescent="0.3">
      <c r="K517" s="79"/>
      <c r="L517" s="79"/>
      <c r="M517" s="3"/>
      <c r="N517" s="3"/>
      <c r="O517" s="3"/>
      <c r="P517" s="3"/>
      <c r="Q517" s="6"/>
      <c r="R517" s="3"/>
      <c r="S517" s="3"/>
      <c r="T517" s="3"/>
      <c r="U517" s="3"/>
      <c r="V517" s="3"/>
      <c r="W517" s="3"/>
      <c r="X517" s="3"/>
      <c r="Y517" s="3"/>
      <c r="Z517" s="3"/>
    </row>
    <row r="518" spans="11:26" ht="15.75" customHeight="1" x14ac:dyDescent="0.3">
      <c r="K518" s="79"/>
      <c r="L518" s="79"/>
      <c r="M518" s="3"/>
      <c r="N518" s="3"/>
      <c r="O518" s="3"/>
      <c r="P518" s="3"/>
      <c r="Q518" s="6"/>
      <c r="R518" s="3"/>
      <c r="S518" s="3"/>
      <c r="T518" s="3"/>
      <c r="U518" s="3"/>
      <c r="V518" s="3"/>
      <c r="W518" s="3"/>
      <c r="X518" s="3"/>
      <c r="Y518" s="3"/>
      <c r="Z518" s="3"/>
    </row>
    <row r="519" spans="11:26" ht="15.75" customHeight="1" x14ac:dyDescent="0.3">
      <c r="K519" s="79"/>
      <c r="L519" s="79"/>
      <c r="M519" s="3"/>
      <c r="N519" s="3"/>
      <c r="O519" s="3"/>
      <c r="P519" s="3"/>
      <c r="Q519" s="6"/>
      <c r="R519" s="3"/>
      <c r="S519" s="3"/>
      <c r="T519" s="3"/>
      <c r="U519" s="3"/>
      <c r="V519" s="3"/>
      <c r="W519" s="3"/>
      <c r="X519" s="3"/>
      <c r="Y519" s="3"/>
      <c r="Z519" s="3"/>
    </row>
    <row r="520" spans="11:26" ht="15.75" customHeight="1" x14ac:dyDescent="0.3">
      <c r="K520" s="79"/>
      <c r="L520" s="79"/>
      <c r="M520" s="3"/>
      <c r="N520" s="3"/>
      <c r="O520" s="3"/>
      <c r="P520" s="3"/>
      <c r="Q520" s="6"/>
      <c r="R520" s="3"/>
      <c r="S520" s="3"/>
      <c r="T520" s="3"/>
      <c r="U520" s="3"/>
      <c r="V520" s="3"/>
      <c r="W520" s="3"/>
      <c r="X520" s="3"/>
      <c r="Y520" s="3"/>
      <c r="Z520" s="3"/>
    </row>
    <row r="521" spans="11:26" ht="15.75" customHeight="1" x14ac:dyDescent="0.3">
      <c r="K521" s="79"/>
      <c r="L521" s="79"/>
      <c r="M521" s="3"/>
      <c r="N521" s="3"/>
      <c r="O521" s="3"/>
      <c r="P521" s="3"/>
      <c r="Q521" s="6"/>
      <c r="R521" s="3"/>
      <c r="S521" s="3"/>
      <c r="T521" s="3"/>
      <c r="U521" s="3"/>
      <c r="V521" s="3"/>
      <c r="W521" s="3"/>
      <c r="X521" s="3"/>
      <c r="Y521" s="3"/>
      <c r="Z521" s="3"/>
    </row>
    <row r="522" spans="11:26" ht="15.75" customHeight="1" x14ac:dyDescent="0.3">
      <c r="K522" s="79"/>
      <c r="L522" s="79"/>
      <c r="M522" s="3"/>
      <c r="N522" s="3"/>
      <c r="O522" s="3"/>
      <c r="P522" s="3"/>
      <c r="Q522" s="6"/>
      <c r="R522" s="3"/>
      <c r="S522" s="3"/>
      <c r="T522" s="3"/>
      <c r="U522" s="3"/>
      <c r="V522" s="3"/>
      <c r="W522" s="3"/>
      <c r="X522" s="3"/>
      <c r="Y522" s="3"/>
      <c r="Z522" s="3"/>
    </row>
    <row r="523" spans="11:26" ht="15.75" customHeight="1" x14ac:dyDescent="0.3">
      <c r="K523" s="79"/>
      <c r="L523" s="79"/>
      <c r="M523" s="3"/>
      <c r="N523" s="3"/>
      <c r="O523" s="3"/>
      <c r="P523" s="3"/>
      <c r="Q523" s="6"/>
      <c r="R523" s="3"/>
      <c r="S523" s="3"/>
      <c r="T523" s="3"/>
      <c r="U523" s="3"/>
      <c r="V523" s="3"/>
      <c r="W523" s="3"/>
      <c r="X523" s="3"/>
      <c r="Y523" s="3"/>
      <c r="Z523" s="3"/>
    </row>
    <row r="524" spans="11:26" ht="15.75" customHeight="1" x14ac:dyDescent="0.3">
      <c r="K524" s="79"/>
      <c r="L524" s="79"/>
      <c r="M524" s="3"/>
      <c r="N524" s="3"/>
      <c r="O524" s="3"/>
      <c r="P524" s="3"/>
      <c r="Q524" s="6"/>
      <c r="R524" s="3"/>
      <c r="S524" s="3"/>
      <c r="T524" s="3"/>
      <c r="U524" s="3"/>
      <c r="V524" s="3"/>
      <c r="W524" s="3"/>
      <c r="X524" s="3"/>
      <c r="Y524" s="3"/>
      <c r="Z524" s="3"/>
    </row>
    <row r="525" spans="11:26" ht="15.75" customHeight="1" x14ac:dyDescent="0.3">
      <c r="K525" s="79"/>
      <c r="L525" s="79"/>
      <c r="M525" s="3"/>
      <c r="N525" s="3"/>
      <c r="O525" s="3"/>
      <c r="P525" s="3"/>
      <c r="Q525" s="6"/>
      <c r="R525" s="3"/>
      <c r="S525" s="3"/>
      <c r="T525" s="3"/>
      <c r="U525" s="3"/>
      <c r="V525" s="3"/>
      <c r="W525" s="3"/>
      <c r="X525" s="3"/>
      <c r="Y525" s="3"/>
      <c r="Z525" s="3"/>
    </row>
    <row r="526" spans="11:26" ht="15.75" customHeight="1" x14ac:dyDescent="0.3">
      <c r="K526" s="79"/>
      <c r="L526" s="79"/>
      <c r="M526" s="3"/>
      <c r="N526" s="3"/>
      <c r="O526" s="3"/>
      <c r="P526" s="3"/>
      <c r="Q526" s="6"/>
      <c r="R526" s="3"/>
      <c r="S526" s="3"/>
      <c r="T526" s="3"/>
      <c r="U526" s="3"/>
      <c r="V526" s="3"/>
      <c r="W526" s="3"/>
      <c r="X526" s="3"/>
      <c r="Y526" s="3"/>
      <c r="Z526" s="3"/>
    </row>
    <row r="527" spans="11:26" ht="15.75" customHeight="1" x14ac:dyDescent="0.3">
      <c r="K527" s="79"/>
      <c r="L527" s="79"/>
      <c r="M527" s="3"/>
      <c r="N527" s="3"/>
      <c r="O527" s="3"/>
      <c r="P527" s="3"/>
      <c r="Q527" s="6"/>
      <c r="R527" s="3"/>
      <c r="S527" s="3"/>
      <c r="T527" s="3"/>
      <c r="U527" s="3"/>
      <c r="V527" s="3"/>
      <c r="W527" s="3"/>
      <c r="X527" s="3"/>
      <c r="Y527" s="3"/>
      <c r="Z527" s="3"/>
    </row>
    <row r="528" spans="11:26" ht="15.75" customHeight="1" x14ac:dyDescent="0.3">
      <c r="K528" s="79"/>
      <c r="L528" s="79"/>
      <c r="M528" s="3"/>
      <c r="N528" s="3"/>
      <c r="O528" s="3"/>
      <c r="P528" s="3"/>
      <c r="Q528" s="6"/>
      <c r="R528" s="3"/>
      <c r="S528" s="3"/>
      <c r="T528" s="3"/>
      <c r="U528" s="3"/>
      <c r="V528" s="3"/>
      <c r="W528" s="3"/>
      <c r="X528" s="3"/>
      <c r="Y528" s="3"/>
      <c r="Z528" s="3"/>
    </row>
    <row r="529" spans="11:26" ht="15.75" customHeight="1" x14ac:dyDescent="0.3">
      <c r="K529" s="79"/>
      <c r="L529" s="79"/>
      <c r="M529" s="3"/>
      <c r="N529" s="3"/>
      <c r="O529" s="3"/>
      <c r="P529" s="3"/>
      <c r="Q529" s="6"/>
      <c r="R529" s="3"/>
      <c r="S529" s="3"/>
      <c r="T529" s="3"/>
      <c r="U529" s="3"/>
      <c r="V529" s="3"/>
      <c r="W529" s="3"/>
      <c r="X529" s="3"/>
      <c r="Y529" s="3"/>
      <c r="Z529" s="3"/>
    </row>
    <row r="530" spans="11:26" ht="15.75" customHeight="1" x14ac:dyDescent="0.3">
      <c r="K530" s="79"/>
      <c r="L530" s="79"/>
      <c r="M530" s="3"/>
      <c r="N530" s="3"/>
      <c r="O530" s="3"/>
      <c r="P530" s="3"/>
      <c r="Q530" s="6"/>
      <c r="R530" s="3"/>
      <c r="S530" s="3"/>
      <c r="T530" s="3"/>
      <c r="U530" s="3"/>
      <c r="V530" s="3"/>
      <c r="W530" s="3"/>
      <c r="X530" s="3"/>
      <c r="Y530" s="3"/>
      <c r="Z530" s="3"/>
    </row>
    <row r="531" spans="11:26" ht="15.75" customHeight="1" x14ac:dyDescent="0.3">
      <c r="K531" s="79"/>
      <c r="L531" s="79"/>
      <c r="M531" s="3"/>
      <c r="N531" s="3"/>
      <c r="O531" s="3"/>
      <c r="P531" s="3"/>
      <c r="Q531" s="6"/>
      <c r="R531" s="3"/>
      <c r="S531" s="3"/>
      <c r="T531" s="3"/>
      <c r="U531" s="3"/>
      <c r="V531" s="3"/>
      <c r="W531" s="3"/>
      <c r="X531" s="3"/>
      <c r="Y531" s="3"/>
      <c r="Z531" s="3"/>
    </row>
    <row r="532" spans="11:26" ht="15.75" customHeight="1" x14ac:dyDescent="0.3">
      <c r="K532" s="79"/>
      <c r="L532" s="79"/>
      <c r="M532" s="3"/>
      <c r="N532" s="3"/>
      <c r="O532" s="3"/>
      <c r="P532" s="3"/>
      <c r="Q532" s="6"/>
      <c r="R532" s="3"/>
      <c r="S532" s="3"/>
      <c r="T532" s="3"/>
      <c r="U532" s="3"/>
      <c r="V532" s="3"/>
      <c r="W532" s="3"/>
      <c r="X532" s="3"/>
      <c r="Y532" s="3"/>
      <c r="Z532" s="3"/>
    </row>
    <row r="533" spans="11:26" ht="15.75" customHeight="1" x14ac:dyDescent="0.3">
      <c r="K533" s="79"/>
      <c r="L533" s="79"/>
      <c r="M533" s="3"/>
      <c r="N533" s="3"/>
      <c r="O533" s="3"/>
      <c r="P533" s="3"/>
      <c r="Q533" s="6"/>
      <c r="R533" s="3"/>
      <c r="S533" s="3"/>
      <c r="T533" s="3"/>
      <c r="U533" s="3"/>
      <c r="V533" s="3"/>
      <c r="W533" s="3"/>
      <c r="X533" s="3"/>
      <c r="Y533" s="3"/>
      <c r="Z533" s="3"/>
    </row>
    <row r="534" spans="11:26" ht="15.75" customHeight="1" x14ac:dyDescent="0.3">
      <c r="K534" s="79"/>
      <c r="L534" s="79"/>
      <c r="M534" s="3"/>
      <c r="N534" s="3"/>
      <c r="O534" s="3"/>
      <c r="P534" s="3"/>
      <c r="Q534" s="6"/>
      <c r="R534" s="3"/>
      <c r="S534" s="3"/>
      <c r="T534" s="3"/>
      <c r="U534" s="3"/>
      <c r="V534" s="3"/>
      <c r="W534" s="3"/>
      <c r="X534" s="3"/>
      <c r="Y534" s="3"/>
      <c r="Z534" s="3"/>
    </row>
    <row r="535" spans="11:26" ht="15.75" customHeight="1" x14ac:dyDescent="0.3">
      <c r="K535" s="79"/>
      <c r="L535" s="79"/>
      <c r="M535" s="3"/>
      <c r="N535" s="3"/>
      <c r="O535" s="3"/>
      <c r="P535" s="3"/>
      <c r="Q535" s="6"/>
      <c r="R535" s="3"/>
      <c r="S535" s="3"/>
      <c r="T535" s="3"/>
      <c r="U535" s="3"/>
      <c r="V535" s="3"/>
      <c r="W535" s="3"/>
      <c r="X535" s="3"/>
      <c r="Y535" s="3"/>
      <c r="Z535" s="3"/>
    </row>
    <row r="536" spans="11:26" ht="15.75" customHeight="1" x14ac:dyDescent="0.3">
      <c r="K536" s="79"/>
      <c r="L536" s="79"/>
      <c r="M536" s="3"/>
      <c r="N536" s="3"/>
      <c r="O536" s="3"/>
      <c r="P536" s="3"/>
      <c r="Q536" s="6"/>
      <c r="R536" s="3"/>
      <c r="S536" s="3"/>
      <c r="T536" s="3"/>
      <c r="U536" s="3"/>
      <c r="V536" s="3"/>
      <c r="W536" s="3"/>
      <c r="X536" s="3"/>
      <c r="Y536" s="3"/>
      <c r="Z536" s="3"/>
    </row>
    <row r="537" spans="11:26" ht="15.75" customHeight="1" x14ac:dyDescent="0.3">
      <c r="K537" s="79"/>
      <c r="L537" s="79"/>
      <c r="M537" s="3"/>
      <c r="N537" s="3"/>
      <c r="O537" s="3"/>
      <c r="P537" s="3"/>
      <c r="Q537" s="6"/>
      <c r="R537" s="3"/>
      <c r="S537" s="3"/>
      <c r="T537" s="3"/>
      <c r="U537" s="3"/>
      <c r="V537" s="3"/>
      <c r="W537" s="3"/>
      <c r="X537" s="3"/>
      <c r="Y537" s="3"/>
      <c r="Z537" s="3"/>
    </row>
    <row r="538" spans="11:26" ht="15.75" customHeight="1" x14ac:dyDescent="0.3">
      <c r="K538" s="79"/>
      <c r="L538" s="79"/>
      <c r="M538" s="3"/>
      <c r="N538" s="3"/>
      <c r="O538" s="3"/>
      <c r="P538" s="3"/>
      <c r="Q538" s="6"/>
      <c r="R538" s="3"/>
      <c r="S538" s="3"/>
      <c r="T538" s="3"/>
      <c r="U538" s="3"/>
      <c r="V538" s="3"/>
      <c r="W538" s="3"/>
      <c r="X538" s="3"/>
      <c r="Y538" s="3"/>
      <c r="Z538" s="3"/>
    </row>
    <row r="539" spans="11:26" ht="15.75" customHeight="1" x14ac:dyDescent="0.3">
      <c r="K539" s="79"/>
      <c r="L539" s="79"/>
      <c r="M539" s="3"/>
      <c r="N539" s="3"/>
      <c r="O539" s="3"/>
      <c r="P539" s="3"/>
      <c r="Q539" s="6"/>
      <c r="R539" s="3"/>
      <c r="S539" s="3"/>
      <c r="T539" s="3"/>
      <c r="U539" s="3"/>
      <c r="V539" s="3"/>
      <c r="W539" s="3"/>
      <c r="X539" s="3"/>
      <c r="Y539" s="3"/>
      <c r="Z539" s="3"/>
    </row>
    <row r="540" spans="11:26" ht="15.75" customHeight="1" x14ac:dyDescent="0.3">
      <c r="K540" s="79"/>
      <c r="L540" s="79"/>
      <c r="M540" s="3"/>
      <c r="N540" s="3"/>
      <c r="O540" s="3"/>
      <c r="P540" s="3"/>
      <c r="Q540" s="6"/>
      <c r="R540" s="3"/>
      <c r="S540" s="3"/>
      <c r="T540" s="3"/>
      <c r="U540" s="3"/>
      <c r="V540" s="3"/>
      <c r="W540" s="3"/>
      <c r="X540" s="3"/>
      <c r="Y540" s="3"/>
      <c r="Z540" s="3"/>
    </row>
    <row r="541" spans="11:26" ht="15.75" customHeight="1" x14ac:dyDescent="0.3">
      <c r="K541" s="79"/>
      <c r="L541" s="79"/>
      <c r="M541" s="3"/>
      <c r="N541" s="3"/>
      <c r="O541" s="3"/>
      <c r="P541" s="3"/>
      <c r="Q541" s="6"/>
      <c r="R541" s="3"/>
      <c r="S541" s="3"/>
      <c r="T541" s="3"/>
      <c r="U541" s="3"/>
      <c r="V541" s="3"/>
      <c r="W541" s="3"/>
      <c r="X541" s="3"/>
      <c r="Y541" s="3"/>
      <c r="Z541" s="3"/>
    </row>
    <row r="542" spans="11:26" ht="15.75" customHeight="1" x14ac:dyDescent="0.3">
      <c r="K542" s="79"/>
      <c r="L542" s="79"/>
      <c r="M542" s="3"/>
      <c r="N542" s="3"/>
      <c r="O542" s="3"/>
      <c r="P542" s="3"/>
      <c r="Q542" s="6"/>
      <c r="R542" s="3"/>
      <c r="S542" s="3"/>
      <c r="T542" s="3"/>
      <c r="U542" s="3"/>
      <c r="V542" s="3"/>
      <c r="W542" s="3"/>
      <c r="X542" s="3"/>
      <c r="Y542" s="3"/>
      <c r="Z542" s="3"/>
    </row>
    <row r="543" spans="11:26" ht="15.75" customHeight="1" x14ac:dyDescent="0.3">
      <c r="K543" s="79"/>
      <c r="L543" s="79"/>
      <c r="M543" s="3"/>
      <c r="N543" s="3"/>
      <c r="O543" s="3"/>
      <c r="P543" s="3"/>
      <c r="Q543" s="6"/>
      <c r="R543" s="3"/>
      <c r="S543" s="3"/>
      <c r="T543" s="3"/>
      <c r="U543" s="3"/>
      <c r="V543" s="3"/>
      <c r="W543" s="3"/>
      <c r="X543" s="3"/>
      <c r="Y543" s="3"/>
      <c r="Z543" s="3"/>
    </row>
    <row r="544" spans="11:26" ht="15.75" customHeight="1" x14ac:dyDescent="0.3">
      <c r="K544" s="79"/>
      <c r="L544" s="79"/>
      <c r="M544" s="3"/>
      <c r="N544" s="3"/>
      <c r="O544" s="3"/>
      <c r="P544" s="3"/>
      <c r="Q544" s="6"/>
      <c r="R544" s="3"/>
      <c r="S544" s="3"/>
      <c r="T544" s="3"/>
      <c r="U544" s="3"/>
      <c r="V544" s="3"/>
      <c r="W544" s="3"/>
      <c r="X544" s="3"/>
      <c r="Y544" s="3"/>
      <c r="Z544" s="3"/>
    </row>
    <row r="545" spans="11:26" ht="15.75" customHeight="1" x14ac:dyDescent="0.3">
      <c r="K545" s="79"/>
      <c r="L545" s="79"/>
      <c r="M545" s="3"/>
      <c r="N545" s="3"/>
      <c r="O545" s="3"/>
      <c r="P545" s="3"/>
      <c r="Q545" s="6"/>
      <c r="R545" s="3"/>
      <c r="S545" s="3"/>
      <c r="T545" s="3"/>
      <c r="U545" s="3"/>
      <c r="V545" s="3"/>
      <c r="W545" s="3"/>
      <c r="X545" s="3"/>
      <c r="Y545" s="3"/>
      <c r="Z545" s="3"/>
    </row>
    <row r="546" spans="11:26" ht="15.75" customHeight="1" x14ac:dyDescent="0.3">
      <c r="K546" s="79"/>
      <c r="L546" s="79"/>
      <c r="M546" s="3"/>
      <c r="N546" s="3"/>
      <c r="O546" s="3"/>
      <c r="P546" s="3"/>
      <c r="Q546" s="6"/>
      <c r="R546" s="3"/>
      <c r="S546" s="3"/>
      <c r="T546" s="3"/>
      <c r="U546" s="3"/>
      <c r="V546" s="3"/>
      <c r="W546" s="3"/>
      <c r="X546" s="3"/>
      <c r="Y546" s="3"/>
      <c r="Z546" s="3"/>
    </row>
    <row r="547" spans="11:26" ht="15.75" customHeight="1" x14ac:dyDescent="0.3">
      <c r="K547" s="79"/>
      <c r="L547" s="79"/>
      <c r="M547" s="3"/>
      <c r="N547" s="3"/>
      <c r="O547" s="3"/>
      <c r="P547" s="3"/>
      <c r="Q547" s="6"/>
      <c r="R547" s="3"/>
      <c r="S547" s="3"/>
      <c r="T547" s="3"/>
      <c r="U547" s="3"/>
      <c r="V547" s="3"/>
      <c r="W547" s="3"/>
      <c r="X547" s="3"/>
      <c r="Y547" s="3"/>
      <c r="Z547" s="3"/>
    </row>
    <row r="548" spans="11:26" ht="15.75" customHeight="1" x14ac:dyDescent="0.3">
      <c r="K548" s="79"/>
      <c r="L548" s="79"/>
      <c r="M548" s="3"/>
      <c r="N548" s="3"/>
      <c r="O548" s="3"/>
      <c r="P548" s="3"/>
      <c r="Q548" s="6"/>
      <c r="R548" s="3"/>
      <c r="S548" s="3"/>
      <c r="T548" s="3"/>
      <c r="U548" s="3"/>
      <c r="V548" s="3"/>
      <c r="W548" s="3"/>
      <c r="X548" s="3"/>
      <c r="Y548" s="3"/>
      <c r="Z548" s="3"/>
    </row>
    <row r="549" spans="11:26" ht="15.75" customHeight="1" x14ac:dyDescent="0.3">
      <c r="K549" s="79"/>
      <c r="L549" s="79"/>
      <c r="M549" s="3"/>
      <c r="N549" s="3"/>
      <c r="O549" s="3"/>
      <c r="P549" s="3"/>
      <c r="Q549" s="6"/>
      <c r="R549" s="3"/>
      <c r="S549" s="3"/>
      <c r="T549" s="3"/>
      <c r="U549" s="3"/>
      <c r="V549" s="3"/>
      <c r="W549" s="3"/>
      <c r="X549" s="3"/>
      <c r="Y549" s="3"/>
      <c r="Z549" s="3"/>
    </row>
    <row r="550" spans="11:26" ht="15.75" customHeight="1" x14ac:dyDescent="0.3">
      <c r="K550" s="79"/>
      <c r="L550" s="79"/>
      <c r="M550" s="3"/>
      <c r="N550" s="3"/>
      <c r="O550" s="3"/>
      <c r="P550" s="3"/>
      <c r="Q550" s="6"/>
      <c r="R550" s="3"/>
      <c r="S550" s="3"/>
      <c r="T550" s="3"/>
      <c r="U550" s="3"/>
      <c r="V550" s="3"/>
      <c r="W550" s="3"/>
      <c r="X550" s="3"/>
      <c r="Y550" s="3"/>
      <c r="Z550" s="3"/>
    </row>
    <row r="551" spans="11:26" ht="15.75" customHeight="1" x14ac:dyDescent="0.3">
      <c r="K551" s="79"/>
      <c r="L551" s="79"/>
      <c r="M551" s="3"/>
      <c r="N551" s="3"/>
      <c r="O551" s="3"/>
      <c r="P551" s="3"/>
      <c r="Q551" s="6"/>
      <c r="R551" s="3"/>
      <c r="S551" s="3"/>
      <c r="T551" s="3"/>
      <c r="U551" s="3"/>
      <c r="V551" s="3"/>
      <c r="W551" s="3"/>
      <c r="X551" s="3"/>
      <c r="Y551" s="3"/>
      <c r="Z551" s="3"/>
    </row>
    <row r="552" spans="11:26" ht="15.75" customHeight="1" x14ac:dyDescent="0.3">
      <c r="K552" s="79"/>
      <c r="L552" s="79"/>
      <c r="M552" s="3"/>
      <c r="N552" s="3"/>
      <c r="O552" s="3"/>
      <c r="P552" s="3"/>
      <c r="Q552" s="6"/>
      <c r="R552" s="3"/>
      <c r="S552" s="3"/>
      <c r="T552" s="3"/>
      <c r="U552" s="3"/>
      <c r="V552" s="3"/>
      <c r="W552" s="3"/>
      <c r="X552" s="3"/>
      <c r="Y552" s="3"/>
      <c r="Z552" s="3"/>
    </row>
    <row r="553" spans="11:26" ht="15.75" customHeight="1" x14ac:dyDescent="0.3">
      <c r="K553" s="79"/>
      <c r="L553" s="79"/>
      <c r="M553" s="3"/>
      <c r="N553" s="3"/>
      <c r="O553" s="3"/>
      <c r="P553" s="3"/>
      <c r="Q553" s="6"/>
      <c r="R553" s="3"/>
      <c r="S553" s="3"/>
      <c r="T553" s="3"/>
      <c r="U553" s="3"/>
      <c r="V553" s="3"/>
      <c r="W553" s="3"/>
      <c r="X553" s="3"/>
      <c r="Y553" s="3"/>
      <c r="Z553" s="3"/>
    </row>
    <row r="554" spans="11:26" ht="15.75" customHeight="1" x14ac:dyDescent="0.3">
      <c r="K554" s="79"/>
      <c r="L554" s="79"/>
      <c r="M554" s="3"/>
      <c r="N554" s="3"/>
      <c r="O554" s="3"/>
      <c r="P554" s="3"/>
      <c r="Q554" s="6"/>
      <c r="R554" s="3"/>
      <c r="S554" s="3"/>
      <c r="T554" s="3"/>
      <c r="U554" s="3"/>
      <c r="V554" s="3"/>
      <c r="W554" s="3"/>
      <c r="X554" s="3"/>
      <c r="Y554" s="3"/>
      <c r="Z554" s="3"/>
    </row>
    <row r="555" spans="11:26" ht="15.75" customHeight="1" x14ac:dyDescent="0.3">
      <c r="K555" s="79"/>
      <c r="L555" s="79"/>
      <c r="M555" s="3"/>
      <c r="N555" s="3"/>
      <c r="O555" s="3"/>
      <c r="P555" s="3"/>
      <c r="Q555" s="6"/>
      <c r="R555" s="3"/>
      <c r="S555" s="3"/>
      <c r="T555" s="3"/>
      <c r="U555" s="3"/>
      <c r="V555" s="3"/>
      <c r="W555" s="3"/>
      <c r="X555" s="3"/>
      <c r="Y555" s="3"/>
      <c r="Z555" s="3"/>
    </row>
    <row r="556" spans="11:26" ht="15.75" customHeight="1" x14ac:dyDescent="0.3">
      <c r="K556" s="79"/>
      <c r="L556" s="79"/>
      <c r="M556" s="3"/>
      <c r="N556" s="3"/>
      <c r="O556" s="3"/>
      <c r="P556" s="3"/>
      <c r="Q556" s="6"/>
      <c r="R556" s="3"/>
      <c r="S556" s="3"/>
      <c r="T556" s="3"/>
      <c r="U556" s="3"/>
      <c r="V556" s="3"/>
      <c r="W556" s="3"/>
      <c r="X556" s="3"/>
      <c r="Y556" s="3"/>
      <c r="Z556" s="3"/>
    </row>
    <row r="557" spans="11:26" ht="15.75" customHeight="1" x14ac:dyDescent="0.3">
      <c r="K557" s="79"/>
      <c r="L557" s="79"/>
      <c r="M557" s="3"/>
      <c r="N557" s="3"/>
      <c r="O557" s="3"/>
      <c r="P557" s="3"/>
      <c r="Q557" s="6"/>
      <c r="R557" s="3"/>
      <c r="S557" s="3"/>
      <c r="T557" s="3"/>
      <c r="U557" s="3"/>
      <c r="V557" s="3"/>
      <c r="W557" s="3"/>
      <c r="X557" s="3"/>
      <c r="Y557" s="3"/>
      <c r="Z557" s="3"/>
    </row>
    <row r="558" spans="11:26" ht="15.75" customHeight="1" x14ac:dyDescent="0.3">
      <c r="K558" s="79"/>
      <c r="L558" s="79"/>
      <c r="M558" s="3"/>
      <c r="N558" s="3"/>
      <c r="O558" s="3"/>
      <c r="P558" s="3"/>
      <c r="Q558" s="6"/>
      <c r="R558" s="3"/>
      <c r="S558" s="3"/>
      <c r="T558" s="3"/>
      <c r="U558" s="3"/>
      <c r="V558" s="3"/>
      <c r="W558" s="3"/>
      <c r="X558" s="3"/>
      <c r="Y558" s="3"/>
      <c r="Z558" s="3"/>
    </row>
    <row r="559" spans="11:26" ht="15.75" customHeight="1" x14ac:dyDescent="0.3">
      <c r="K559" s="79"/>
      <c r="L559" s="79"/>
      <c r="M559" s="3"/>
      <c r="N559" s="3"/>
      <c r="O559" s="3"/>
      <c r="P559" s="3"/>
      <c r="Q559" s="6"/>
      <c r="R559" s="3"/>
      <c r="S559" s="3"/>
      <c r="T559" s="3"/>
      <c r="U559" s="3"/>
      <c r="V559" s="3"/>
      <c r="W559" s="3"/>
      <c r="X559" s="3"/>
      <c r="Y559" s="3"/>
      <c r="Z559" s="3"/>
    </row>
    <row r="560" spans="11:26" ht="15.75" customHeight="1" x14ac:dyDescent="0.3">
      <c r="K560" s="79"/>
      <c r="L560" s="79"/>
      <c r="M560" s="3"/>
      <c r="N560" s="3"/>
      <c r="O560" s="3"/>
      <c r="P560" s="3"/>
      <c r="Q560" s="6"/>
      <c r="R560" s="3"/>
      <c r="S560" s="3"/>
      <c r="T560" s="3"/>
      <c r="U560" s="3"/>
      <c r="V560" s="3"/>
      <c r="W560" s="3"/>
      <c r="X560" s="3"/>
      <c r="Y560" s="3"/>
      <c r="Z560" s="3"/>
    </row>
    <row r="561" spans="11:26" ht="15.75" customHeight="1" x14ac:dyDescent="0.3">
      <c r="K561" s="79"/>
      <c r="L561" s="79"/>
      <c r="M561" s="3"/>
      <c r="N561" s="3"/>
      <c r="O561" s="3"/>
      <c r="P561" s="3"/>
      <c r="Q561" s="6"/>
      <c r="R561" s="3"/>
      <c r="S561" s="3"/>
      <c r="T561" s="3"/>
      <c r="U561" s="3"/>
      <c r="V561" s="3"/>
      <c r="W561" s="3"/>
      <c r="X561" s="3"/>
      <c r="Y561" s="3"/>
      <c r="Z561" s="3"/>
    </row>
    <row r="562" spans="11:26" ht="15.75" customHeight="1" x14ac:dyDescent="0.3">
      <c r="K562" s="79"/>
      <c r="L562" s="79"/>
      <c r="M562" s="3"/>
      <c r="N562" s="3"/>
      <c r="O562" s="3"/>
      <c r="P562" s="3"/>
      <c r="Q562" s="6"/>
      <c r="R562" s="3"/>
      <c r="S562" s="3"/>
      <c r="T562" s="3"/>
      <c r="U562" s="3"/>
      <c r="V562" s="3"/>
      <c r="W562" s="3"/>
      <c r="X562" s="3"/>
      <c r="Y562" s="3"/>
      <c r="Z562" s="3"/>
    </row>
    <row r="563" spans="11:26" ht="15.75" customHeight="1" x14ac:dyDescent="0.3">
      <c r="K563" s="79"/>
      <c r="L563" s="79"/>
      <c r="M563" s="3"/>
      <c r="N563" s="3"/>
      <c r="O563" s="3"/>
      <c r="P563" s="3"/>
      <c r="Q563" s="6"/>
      <c r="R563" s="3"/>
      <c r="S563" s="3"/>
      <c r="T563" s="3"/>
      <c r="U563" s="3"/>
      <c r="V563" s="3"/>
      <c r="W563" s="3"/>
      <c r="X563" s="3"/>
      <c r="Y563" s="3"/>
      <c r="Z563" s="3"/>
    </row>
    <row r="564" spans="11:26" ht="15.75" customHeight="1" x14ac:dyDescent="0.3">
      <c r="K564" s="79"/>
      <c r="L564" s="79"/>
      <c r="M564" s="3"/>
      <c r="N564" s="3"/>
      <c r="O564" s="3"/>
      <c r="P564" s="3"/>
      <c r="Q564" s="6"/>
      <c r="R564" s="3"/>
      <c r="S564" s="3"/>
      <c r="T564" s="3"/>
      <c r="U564" s="3"/>
      <c r="V564" s="3"/>
      <c r="W564" s="3"/>
      <c r="X564" s="3"/>
      <c r="Y564" s="3"/>
      <c r="Z564" s="3"/>
    </row>
    <row r="565" spans="11:26" ht="15.75" customHeight="1" x14ac:dyDescent="0.3">
      <c r="K565" s="79"/>
      <c r="L565" s="79"/>
      <c r="M565" s="3"/>
      <c r="N565" s="3"/>
      <c r="O565" s="3"/>
      <c r="P565" s="3"/>
      <c r="Q565" s="6"/>
      <c r="R565" s="3"/>
      <c r="S565" s="3"/>
      <c r="T565" s="3"/>
      <c r="U565" s="3"/>
      <c r="V565" s="3"/>
      <c r="W565" s="3"/>
      <c r="X565" s="3"/>
      <c r="Y565" s="3"/>
      <c r="Z565" s="3"/>
    </row>
    <row r="566" spans="11:26" ht="15.75" customHeight="1" x14ac:dyDescent="0.3">
      <c r="K566" s="79"/>
      <c r="L566" s="79"/>
      <c r="M566" s="3"/>
      <c r="N566" s="3"/>
      <c r="O566" s="3"/>
      <c r="P566" s="3"/>
      <c r="Q566" s="6"/>
      <c r="R566" s="3"/>
      <c r="S566" s="3"/>
      <c r="T566" s="3"/>
      <c r="U566" s="3"/>
      <c r="V566" s="3"/>
      <c r="W566" s="3"/>
      <c r="X566" s="3"/>
      <c r="Y566" s="3"/>
      <c r="Z566" s="3"/>
    </row>
    <row r="567" spans="11:26" ht="15.75" customHeight="1" x14ac:dyDescent="0.3">
      <c r="K567" s="79"/>
      <c r="L567" s="79"/>
      <c r="M567" s="3"/>
      <c r="N567" s="3"/>
      <c r="O567" s="3"/>
      <c r="P567" s="3"/>
      <c r="Q567" s="6"/>
      <c r="R567" s="3"/>
      <c r="S567" s="3"/>
      <c r="T567" s="3"/>
      <c r="U567" s="3"/>
      <c r="V567" s="3"/>
      <c r="W567" s="3"/>
      <c r="X567" s="3"/>
      <c r="Y567" s="3"/>
      <c r="Z567" s="3"/>
    </row>
    <row r="568" spans="11:26" ht="15.75" customHeight="1" x14ac:dyDescent="0.3">
      <c r="K568" s="79"/>
      <c r="L568" s="79"/>
      <c r="M568" s="3"/>
      <c r="N568" s="3"/>
      <c r="O568" s="3"/>
      <c r="P568" s="3"/>
      <c r="Q568" s="6"/>
      <c r="R568" s="3"/>
      <c r="S568" s="3"/>
      <c r="T568" s="3"/>
      <c r="U568" s="3"/>
      <c r="V568" s="3"/>
      <c r="W568" s="3"/>
      <c r="X568" s="3"/>
      <c r="Y568" s="3"/>
      <c r="Z568" s="3"/>
    </row>
    <row r="569" spans="11:26" ht="15.75" customHeight="1" x14ac:dyDescent="0.3">
      <c r="K569" s="79"/>
      <c r="L569" s="79"/>
      <c r="M569" s="3"/>
      <c r="N569" s="3"/>
      <c r="O569" s="3"/>
      <c r="P569" s="3"/>
      <c r="Q569" s="6"/>
      <c r="R569" s="3"/>
      <c r="S569" s="3"/>
      <c r="T569" s="3"/>
      <c r="U569" s="3"/>
      <c r="V569" s="3"/>
      <c r="W569" s="3"/>
      <c r="X569" s="3"/>
      <c r="Y569" s="3"/>
      <c r="Z569" s="3"/>
    </row>
    <row r="570" spans="11:26" ht="15.75" customHeight="1" x14ac:dyDescent="0.3">
      <c r="K570" s="79"/>
      <c r="L570" s="79"/>
      <c r="M570" s="3"/>
      <c r="N570" s="3"/>
      <c r="O570" s="3"/>
      <c r="P570" s="3"/>
      <c r="Q570" s="6"/>
      <c r="R570" s="3"/>
      <c r="S570" s="3"/>
      <c r="T570" s="3"/>
      <c r="U570" s="3"/>
      <c r="V570" s="3"/>
      <c r="W570" s="3"/>
      <c r="X570" s="3"/>
      <c r="Y570" s="3"/>
      <c r="Z570" s="3"/>
    </row>
    <row r="571" spans="11:26" ht="15.75" customHeight="1" x14ac:dyDescent="0.3">
      <c r="K571" s="79"/>
      <c r="L571" s="79"/>
      <c r="M571" s="3"/>
      <c r="N571" s="3"/>
      <c r="O571" s="3"/>
      <c r="P571" s="3"/>
      <c r="Q571" s="6"/>
      <c r="R571" s="3"/>
      <c r="S571" s="3"/>
      <c r="T571" s="3"/>
      <c r="U571" s="3"/>
      <c r="V571" s="3"/>
      <c r="W571" s="3"/>
      <c r="X571" s="3"/>
      <c r="Y571" s="3"/>
      <c r="Z571" s="3"/>
    </row>
    <row r="572" spans="11:26" ht="15.75" customHeight="1" x14ac:dyDescent="0.3">
      <c r="K572" s="79"/>
      <c r="L572" s="79"/>
      <c r="M572" s="3"/>
      <c r="N572" s="3"/>
      <c r="O572" s="3"/>
      <c r="P572" s="3"/>
      <c r="Q572" s="6"/>
      <c r="R572" s="3"/>
      <c r="S572" s="3"/>
      <c r="T572" s="3"/>
      <c r="U572" s="3"/>
      <c r="V572" s="3"/>
      <c r="W572" s="3"/>
      <c r="X572" s="3"/>
      <c r="Y572" s="3"/>
      <c r="Z572" s="3"/>
    </row>
    <row r="573" spans="11:26" ht="15.75" customHeight="1" x14ac:dyDescent="0.3">
      <c r="K573" s="79"/>
      <c r="L573" s="79"/>
      <c r="M573" s="3"/>
      <c r="N573" s="3"/>
      <c r="O573" s="3"/>
      <c r="P573" s="3"/>
      <c r="Q573" s="6"/>
      <c r="R573" s="3"/>
      <c r="S573" s="3"/>
      <c r="T573" s="3"/>
      <c r="U573" s="3"/>
      <c r="V573" s="3"/>
      <c r="W573" s="3"/>
      <c r="X573" s="3"/>
      <c r="Y573" s="3"/>
      <c r="Z573" s="3"/>
    </row>
    <row r="574" spans="11:26" ht="15.75" customHeight="1" x14ac:dyDescent="0.3">
      <c r="K574" s="79"/>
      <c r="L574" s="79"/>
      <c r="M574" s="3"/>
      <c r="N574" s="3"/>
      <c r="O574" s="3"/>
      <c r="P574" s="3"/>
      <c r="Q574" s="6"/>
      <c r="R574" s="3"/>
      <c r="S574" s="3"/>
      <c r="T574" s="3"/>
      <c r="U574" s="3"/>
      <c r="V574" s="3"/>
      <c r="W574" s="3"/>
      <c r="X574" s="3"/>
      <c r="Y574" s="3"/>
      <c r="Z574" s="3"/>
    </row>
    <row r="575" spans="11:26" ht="15.75" customHeight="1" x14ac:dyDescent="0.3">
      <c r="K575" s="79"/>
      <c r="L575" s="79"/>
      <c r="M575" s="3"/>
      <c r="N575" s="3"/>
      <c r="O575" s="3"/>
      <c r="P575" s="3"/>
      <c r="Q575" s="6"/>
      <c r="R575" s="3"/>
      <c r="S575" s="3"/>
      <c r="T575" s="3"/>
      <c r="U575" s="3"/>
      <c r="V575" s="3"/>
      <c r="W575" s="3"/>
      <c r="X575" s="3"/>
      <c r="Y575" s="3"/>
      <c r="Z575" s="3"/>
    </row>
    <row r="576" spans="11:26" ht="15.75" customHeight="1" x14ac:dyDescent="0.3">
      <c r="K576" s="79"/>
      <c r="L576" s="79"/>
      <c r="M576" s="3"/>
      <c r="N576" s="3"/>
      <c r="O576" s="3"/>
      <c r="P576" s="3"/>
      <c r="Q576" s="6"/>
      <c r="R576" s="3"/>
      <c r="S576" s="3"/>
      <c r="T576" s="3"/>
      <c r="U576" s="3"/>
      <c r="V576" s="3"/>
      <c r="W576" s="3"/>
      <c r="X576" s="3"/>
      <c r="Y576" s="3"/>
      <c r="Z576" s="3"/>
    </row>
    <row r="577" spans="11:26" ht="15.75" customHeight="1" x14ac:dyDescent="0.3">
      <c r="K577" s="79"/>
      <c r="L577" s="79"/>
      <c r="M577" s="3"/>
      <c r="N577" s="3"/>
      <c r="O577" s="3"/>
      <c r="P577" s="3"/>
      <c r="Q577" s="6"/>
      <c r="R577" s="3"/>
      <c r="S577" s="3"/>
      <c r="T577" s="3"/>
      <c r="U577" s="3"/>
      <c r="V577" s="3"/>
      <c r="W577" s="3"/>
      <c r="X577" s="3"/>
      <c r="Y577" s="3"/>
      <c r="Z577" s="3"/>
    </row>
    <row r="578" spans="11:26" ht="15.75" customHeight="1" x14ac:dyDescent="0.3">
      <c r="K578" s="79"/>
      <c r="L578" s="79"/>
      <c r="M578" s="3"/>
      <c r="N578" s="3"/>
      <c r="O578" s="3"/>
      <c r="P578" s="3"/>
      <c r="Q578" s="6"/>
      <c r="R578" s="3"/>
      <c r="S578" s="3"/>
      <c r="T578" s="3"/>
      <c r="U578" s="3"/>
      <c r="V578" s="3"/>
      <c r="W578" s="3"/>
      <c r="X578" s="3"/>
      <c r="Y578" s="3"/>
      <c r="Z578" s="3"/>
    </row>
    <row r="579" spans="11:26" ht="15.75" customHeight="1" x14ac:dyDescent="0.3">
      <c r="K579" s="79"/>
      <c r="L579" s="79"/>
      <c r="M579" s="3"/>
      <c r="N579" s="3"/>
      <c r="O579" s="3"/>
      <c r="P579" s="3"/>
      <c r="Q579" s="6"/>
      <c r="R579" s="3"/>
      <c r="S579" s="3"/>
      <c r="T579" s="3"/>
      <c r="U579" s="3"/>
      <c r="V579" s="3"/>
      <c r="W579" s="3"/>
      <c r="X579" s="3"/>
      <c r="Y579" s="3"/>
      <c r="Z579" s="3"/>
    </row>
    <row r="580" spans="11:26" ht="15.75" customHeight="1" x14ac:dyDescent="0.3">
      <c r="K580" s="79"/>
      <c r="L580" s="79"/>
      <c r="M580" s="3"/>
      <c r="N580" s="3"/>
      <c r="O580" s="3"/>
      <c r="P580" s="3"/>
      <c r="Q580" s="6"/>
      <c r="R580" s="3"/>
      <c r="S580" s="3"/>
      <c r="T580" s="3"/>
      <c r="U580" s="3"/>
      <c r="V580" s="3"/>
      <c r="W580" s="3"/>
      <c r="X580" s="3"/>
      <c r="Y580" s="3"/>
      <c r="Z580" s="3"/>
    </row>
    <row r="581" spans="11:26" ht="15.75" customHeight="1" x14ac:dyDescent="0.3">
      <c r="K581" s="79"/>
      <c r="L581" s="79"/>
      <c r="M581" s="3"/>
      <c r="N581" s="3"/>
      <c r="O581" s="3"/>
      <c r="P581" s="3"/>
      <c r="Q581" s="6"/>
      <c r="R581" s="3"/>
      <c r="S581" s="3"/>
      <c r="T581" s="3"/>
      <c r="U581" s="3"/>
      <c r="V581" s="3"/>
      <c r="W581" s="3"/>
      <c r="X581" s="3"/>
      <c r="Y581" s="3"/>
      <c r="Z581" s="3"/>
    </row>
    <row r="582" spans="11:26" ht="15.75" customHeight="1" x14ac:dyDescent="0.3">
      <c r="K582" s="79"/>
      <c r="L582" s="79"/>
      <c r="M582" s="3"/>
      <c r="N582" s="3"/>
      <c r="O582" s="3"/>
      <c r="P582" s="3"/>
      <c r="Q582" s="6"/>
      <c r="R582" s="3"/>
      <c r="S582" s="3"/>
      <c r="T582" s="3"/>
      <c r="U582" s="3"/>
      <c r="V582" s="3"/>
      <c r="W582" s="3"/>
      <c r="X582" s="3"/>
      <c r="Y582" s="3"/>
      <c r="Z582" s="3"/>
    </row>
    <row r="583" spans="11:26" ht="15.75" customHeight="1" x14ac:dyDescent="0.3">
      <c r="K583" s="79"/>
      <c r="L583" s="79"/>
      <c r="M583" s="3"/>
      <c r="N583" s="3"/>
      <c r="O583" s="3"/>
      <c r="P583" s="3"/>
      <c r="Q583" s="6"/>
      <c r="R583" s="3"/>
      <c r="S583" s="3"/>
      <c r="T583" s="3"/>
      <c r="U583" s="3"/>
      <c r="V583" s="3"/>
      <c r="W583" s="3"/>
      <c r="X583" s="3"/>
      <c r="Y583" s="3"/>
      <c r="Z583" s="3"/>
    </row>
    <row r="584" spans="11:26" ht="15.75" customHeight="1" x14ac:dyDescent="0.3">
      <c r="K584" s="79"/>
      <c r="L584" s="79"/>
      <c r="M584" s="3"/>
      <c r="N584" s="3"/>
      <c r="O584" s="3"/>
      <c r="P584" s="3"/>
      <c r="Q584" s="6"/>
      <c r="R584" s="3"/>
      <c r="S584" s="3"/>
      <c r="T584" s="3"/>
      <c r="U584" s="3"/>
      <c r="V584" s="3"/>
      <c r="W584" s="3"/>
      <c r="X584" s="3"/>
      <c r="Y584" s="3"/>
      <c r="Z584" s="3"/>
    </row>
    <row r="585" spans="11:26" ht="15.75" customHeight="1" x14ac:dyDescent="0.3">
      <c r="K585" s="79"/>
      <c r="L585" s="79"/>
      <c r="M585" s="3"/>
      <c r="N585" s="3"/>
      <c r="O585" s="3"/>
      <c r="P585" s="3"/>
      <c r="Q585" s="6"/>
      <c r="R585" s="3"/>
      <c r="S585" s="3"/>
      <c r="T585" s="3"/>
      <c r="U585" s="3"/>
      <c r="V585" s="3"/>
      <c r="W585" s="3"/>
      <c r="X585" s="3"/>
      <c r="Y585" s="3"/>
      <c r="Z585" s="3"/>
    </row>
    <row r="586" spans="11:26" ht="15.75" customHeight="1" x14ac:dyDescent="0.3">
      <c r="K586" s="79"/>
      <c r="L586" s="79"/>
      <c r="M586" s="3"/>
      <c r="N586" s="3"/>
      <c r="O586" s="3"/>
      <c r="P586" s="3"/>
      <c r="Q586" s="6"/>
      <c r="R586" s="3"/>
      <c r="S586" s="3"/>
      <c r="T586" s="3"/>
      <c r="U586" s="3"/>
      <c r="V586" s="3"/>
      <c r="W586" s="3"/>
      <c r="X586" s="3"/>
      <c r="Y586" s="3"/>
      <c r="Z586" s="3"/>
    </row>
    <row r="587" spans="11:26" ht="15.75" customHeight="1" x14ac:dyDescent="0.3">
      <c r="K587" s="79"/>
      <c r="L587" s="79"/>
      <c r="M587" s="3"/>
      <c r="N587" s="3"/>
      <c r="O587" s="3"/>
      <c r="P587" s="3"/>
      <c r="Q587" s="6"/>
      <c r="R587" s="3"/>
      <c r="S587" s="3"/>
      <c r="T587" s="3"/>
      <c r="U587" s="3"/>
      <c r="V587" s="3"/>
      <c r="W587" s="3"/>
      <c r="X587" s="3"/>
      <c r="Y587" s="3"/>
      <c r="Z587" s="3"/>
    </row>
    <row r="588" spans="11:26" ht="15.75" customHeight="1" x14ac:dyDescent="0.3">
      <c r="K588" s="79"/>
      <c r="L588" s="79"/>
      <c r="M588" s="3"/>
      <c r="N588" s="3"/>
      <c r="O588" s="3"/>
      <c r="P588" s="3"/>
      <c r="Q588" s="6"/>
      <c r="R588" s="3"/>
      <c r="S588" s="3"/>
      <c r="T588" s="3"/>
      <c r="U588" s="3"/>
      <c r="V588" s="3"/>
      <c r="W588" s="3"/>
      <c r="X588" s="3"/>
      <c r="Y588" s="3"/>
      <c r="Z588" s="3"/>
    </row>
    <row r="589" spans="11:26" ht="15.75" customHeight="1" x14ac:dyDescent="0.3">
      <c r="K589" s="79"/>
      <c r="L589" s="79"/>
      <c r="M589" s="3"/>
      <c r="N589" s="3"/>
      <c r="O589" s="3"/>
      <c r="P589" s="3"/>
      <c r="Q589" s="6"/>
      <c r="R589" s="3"/>
      <c r="S589" s="3"/>
      <c r="T589" s="3"/>
      <c r="U589" s="3"/>
      <c r="V589" s="3"/>
      <c r="W589" s="3"/>
      <c r="X589" s="3"/>
      <c r="Y589" s="3"/>
      <c r="Z589" s="3"/>
    </row>
    <row r="590" spans="11:26" ht="15.75" customHeight="1" x14ac:dyDescent="0.3">
      <c r="K590" s="79"/>
      <c r="L590" s="79"/>
      <c r="M590" s="3"/>
      <c r="N590" s="3"/>
      <c r="O590" s="3"/>
      <c r="P590" s="3"/>
      <c r="Q590" s="6"/>
      <c r="R590" s="3"/>
      <c r="S590" s="3"/>
      <c r="T590" s="3"/>
      <c r="U590" s="3"/>
      <c r="V590" s="3"/>
      <c r="W590" s="3"/>
      <c r="X590" s="3"/>
      <c r="Y590" s="3"/>
      <c r="Z590" s="3"/>
    </row>
    <row r="591" spans="11:26" ht="15.75" customHeight="1" x14ac:dyDescent="0.3">
      <c r="K591" s="79"/>
      <c r="L591" s="79"/>
      <c r="M591" s="3"/>
      <c r="N591" s="3"/>
      <c r="O591" s="3"/>
      <c r="P591" s="3"/>
      <c r="Q591" s="6"/>
      <c r="R591" s="3"/>
      <c r="S591" s="3"/>
      <c r="T591" s="3"/>
      <c r="U591" s="3"/>
      <c r="V591" s="3"/>
      <c r="W591" s="3"/>
      <c r="X591" s="3"/>
      <c r="Y591" s="3"/>
      <c r="Z591" s="3"/>
    </row>
    <row r="592" spans="11:26" ht="15.75" customHeight="1" x14ac:dyDescent="0.3">
      <c r="K592" s="79"/>
      <c r="L592" s="79"/>
      <c r="M592" s="3"/>
      <c r="N592" s="3"/>
      <c r="O592" s="3"/>
      <c r="P592" s="3"/>
      <c r="Q592" s="6"/>
      <c r="R592" s="3"/>
      <c r="S592" s="3"/>
      <c r="T592" s="3"/>
      <c r="U592" s="3"/>
      <c r="V592" s="3"/>
      <c r="W592" s="3"/>
      <c r="X592" s="3"/>
      <c r="Y592" s="3"/>
      <c r="Z592" s="3"/>
    </row>
    <row r="593" spans="11:26" ht="15.75" customHeight="1" x14ac:dyDescent="0.3">
      <c r="K593" s="79"/>
      <c r="L593" s="79"/>
      <c r="M593" s="3"/>
      <c r="N593" s="3"/>
      <c r="O593" s="3"/>
      <c r="P593" s="3"/>
      <c r="Q593" s="6"/>
      <c r="R593" s="3"/>
      <c r="S593" s="3"/>
      <c r="T593" s="3"/>
      <c r="U593" s="3"/>
      <c r="V593" s="3"/>
      <c r="W593" s="3"/>
      <c r="X593" s="3"/>
      <c r="Y593" s="3"/>
      <c r="Z593" s="3"/>
    </row>
    <row r="594" spans="11:26" ht="15.75" customHeight="1" x14ac:dyDescent="0.3">
      <c r="K594" s="79"/>
      <c r="L594" s="79"/>
      <c r="M594" s="3"/>
      <c r="N594" s="3"/>
      <c r="O594" s="3"/>
      <c r="P594" s="3"/>
      <c r="Q594" s="6"/>
      <c r="R594" s="3"/>
      <c r="S594" s="3"/>
      <c r="T594" s="3"/>
      <c r="U594" s="3"/>
      <c r="V594" s="3"/>
      <c r="W594" s="3"/>
      <c r="X594" s="3"/>
      <c r="Y594" s="3"/>
      <c r="Z594" s="3"/>
    </row>
    <row r="595" spans="11:26" ht="15.75" customHeight="1" x14ac:dyDescent="0.3">
      <c r="K595" s="79"/>
      <c r="L595" s="79"/>
      <c r="M595" s="3"/>
      <c r="N595" s="3"/>
      <c r="O595" s="3"/>
      <c r="P595" s="3"/>
      <c r="Q595" s="6"/>
      <c r="R595" s="3"/>
      <c r="S595" s="3"/>
      <c r="T595" s="3"/>
      <c r="U595" s="3"/>
      <c r="V595" s="3"/>
      <c r="W595" s="3"/>
      <c r="X595" s="3"/>
      <c r="Y595" s="3"/>
      <c r="Z595" s="3"/>
    </row>
    <row r="596" spans="11:26" ht="15.75" customHeight="1" x14ac:dyDescent="0.3">
      <c r="K596" s="79"/>
      <c r="L596" s="79"/>
      <c r="M596" s="3"/>
      <c r="N596" s="3"/>
      <c r="O596" s="3"/>
      <c r="P596" s="3"/>
      <c r="Q596" s="6"/>
      <c r="R596" s="3"/>
      <c r="S596" s="3"/>
      <c r="T596" s="3"/>
      <c r="U596" s="3"/>
      <c r="V596" s="3"/>
      <c r="W596" s="3"/>
      <c r="X596" s="3"/>
      <c r="Y596" s="3"/>
      <c r="Z596" s="3"/>
    </row>
    <row r="597" spans="11:26" ht="15.75" customHeight="1" x14ac:dyDescent="0.3">
      <c r="K597" s="79"/>
      <c r="L597" s="79"/>
      <c r="M597" s="3"/>
      <c r="N597" s="3"/>
      <c r="O597" s="3"/>
      <c r="P597" s="3"/>
      <c r="Q597" s="6"/>
      <c r="R597" s="3"/>
      <c r="S597" s="3"/>
      <c r="T597" s="3"/>
      <c r="U597" s="3"/>
      <c r="V597" s="3"/>
      <c r="W597" s="3"/>
      <c r="X597" s="3"/>
      <c r="Y597" s="3"/>
      <c r="Z597" s="3"/>
    </row>
    <row r="598" spans="11:26" ht="15.75" customHeight="1" x14ac:dyDescent="0.3">
      <c r="K598" s="79"/>
      <c r="L598" s="79"/>
      <c r="M598" s="3"/>
      <c r="N598" s="3"/>
      <c r="O598" s="3"/>
      <c r="P598" s="3"/>
      <c r="Q598" s="6"/>
      <c r="R598" s="3"/>
      <c r="S598" s="3"/>
      <c r="T598" s="3"/>
      <c r="U598" s="3"/>
      <c r="V598" s="3"/>
      <c r="W598" s="3"/>
      <c r="X598" s="3"/>
      <c r="Y598" s="3"/>
      <c r="Z598" s="3"/>
    </row>
    <row r="599" spans="11:26" ht="15.75" customHeight="1" x14ac:dyDescent="0.3">
      <c r="K599" s="79"/>
      <c r="L599" s="79"/>
      <c r="M599" s="3"/>
      <c r="N599" s="3"/>
      <c r="O599" s="3"/>
      <c r="P599" s="3"/>
      <c r="Q599" s="6"/>
      <c r="R599" s="3"/>
      <c r="S599" s="3"/>
      <c r="T599" s="3"/>
      <c r="U599" s="3"/>
      <c r="V599" s="3"/>
      <c r="W599" s="3"/>
      <c r="X599" s="3"/>
      <c r="Y599" s="3"/>
      <c r="Z599" s="3"/>
    </row>
    <row r="600" spans="11:26" ht="15.75" customHeight="1" x14ac:dyDescent="0.3">
      <c r="K600" s="79"/>
      <c r="L600" s="79"/>
      <c r="M600" s="3"/>
      <c r="N600" s="3"/>
      <c r="O600" s="3"/>
      <c r="P600" s="3"/>
      <c r="Q600" s="6"/>
      <c r="R600" s="3"/>
      <c r="S600" s="3"/>
      <c r="T600" s="3"/>
      <c r="U600" s="3"/>
      <c r="V600" s="3"/>
      <c r="W600" s="3"/>
      <c r="X600" s="3"/>
      <c r="Y600" s="3"/>
      <c r="Z600" s="3"/>
    </row>
    <row r="601" spans="11:26" ht="15.75" customHeight="1" x14ac:dyDescent="0.3">
      <c r="K601" s="79"/>
      <c r="L601" s="79"/>
      <c r="M601" s="3"/>
      <c r="N601" s="3"/>
      <c r="O601" s="3"/>
      <c r="P601" s="3"/>
      <c r="Q601" s="6"/>
      <c r="R601" s="3"/>
      <c r="S601" s="3"/>
      <c r="T601" s="3"/>
      <c r="U601" s="3"/>
      <c r="V601" s="3"/>
      <c r="W601" s="3"/>
      <c r="X601" s="3"/>
      <c r="Y601" s="3"/>
      <c r="Z601" s="3"/>
    </row>
    <row r="602" spans="11:26" ht="15.75" customHeight="1" x14ac:dyDescent="0.3">
      <c r="K602" s="79"/>
      <c r="L602" s="79"/>
      <c r="M602" s="3"/>
      <c r="N602" s="3"/>
      <c r="O602" s="3"/>
      <c r="P602" s="3"/>
      <c r="Q602" s="6"/>
      <c r="R602" s="3"/>
      <c r="S602" s="3"/>
      <c r="T602" s="3"/>
      <c r="U602" s="3"/>
      <c r="V602" s="3"/>
      <c r="W602" s="3"/>
      <c r="X602" s="3"/>
      <c r="Y602" s="3"/>
      <c r="Z602" s="3"/>
    </row>
    <row r="603" spans="11:26" ht="15.75" customHeight="1" x14ac:dyDescent="0.3">
      <c r="K603" s="79"/>
      <c r="L603" s="79"/>
      <c r="M603" s="3"/>
      <c r="N603" s="3"/>
      <c r="O603" s="3"/>
      <c r="P603" s="3"/>
      <c r="Q603" s="6"/>
      <c r="R603" s="3"/>
      <c r="S603" s="3"/>
      <c r="T603" s="3"/>
      <c r="U603" s="3"/>
      <c r="V603" s="3"/>
      <c r="W603" s="3"/>
      <c r="X603" s="3"/>
      <c r="Y603" s="3"/>
      <c r="Z603" s="3"/>
    </row>
    <row r="604" spans="11:26" ht="15.75" customHeight="1" x14ac:dyDescent="0.3">
      <c r="K604" s="79"/>
      <c r="L604" s="79"/>
      <c r="M604" s="3"/>
      <c r="N604" s="3"/>
      <c r="O604" s="3"/>
      <c r="P604" s="3"/>
      <c r="Q604" s="6"/>
      <c r="R604" s="3"/>
      <c r="S604" s="3"/>
      <c r="T604" s="3"/>
      <c r="U604" s="3"/>
      <c r="V604" s="3"/>
      <c r="W604" s="3"/>
      <c r="X604" s="3"/>
      <c r="Y604" s="3"/>
      <c r="Z604" s="3"/>
    </row>
    <row r="605" spans="11:26" ht="15.75" customHeight="1" x14ac:dyDescent="0.3">
      <c r="K605" s="79"/>
      <c r="L605" s="79"/>
      <c r="M605" s="3"/>
      <c r="N605" s="3"/>
      <c r="O605" s="3"/>
      <c r="P605" s="3"/>
      <c r="Q605" s="6"/>
      <c r="R605" s="3"/>
      <c r="S605" s="3"/>
      <c r="T605" s="3"/>
      <c r="U605" s="3"/>
      <c r="V605" s="3"/>
      <c r="W605" s="3"/>
      <c r="X605" s="3"/>
      <c r="Y605" s="3"/>
      <c r="Z605" s="3"/>
    </row>
    <row r="606" spans="11:26" ht="15.75" customHeight="1" x14ac:dyDescent="0.3">
      <c r="K606" s="79"/>
      <c r="L606" s="79"/>
      <c r="M606" s="3"/>
      <c r="N606" s="3"/>
      <c r="O606" s="3"/>
      <c r="P606" s="3"/>
      <c r="Q606" s="6"/>
      <c r="R606" s="3"/>
      <c r="S606" s="3"/>
      <c r="T606" s="3"/>
      <c r="U606" s="3"/>
      <c r="V606" s="3"/>
      <c r="W606" s="3"/>
      <c r="X606" s="3"/>
      <c r="Y606" s="3"/>
      <c r="Z606" s="3"/>
    </row>
    <row r="607" spans="11:26" ht="15.75" customHeight="1" x14ac:dyDescent="0.3">
      <c r="K607" s="79"/>
      <c r="L607" s="79"/>
      <c r="M607" s="3"/>
      <c r="N607" s="3"/>
      <c r="O607" s="3"/>
      <c r="P607" s="3"/>
      <c r="Q607" s="6"/>
      <c r="R607" s="3"/>
      <c r="S607" s="3"/>
      <c r="T607" s="3"/>
      <c r="U607" s="3"/>
      <c r="V607" s="3"/>
      <c r="W607" s="3"/>
      <c r="X607" s="3"/>
      <c r="Y607" s="3"/>
      <c r="Z607" s="3"/>
    </row>
    <row r="608" spans="11:26" ht="15.75" customHeight="1" x14ac:dyDescent="0.3">
      <c r="K608" s="79"/>
      <c r="L608" s="79"/>
      <c r="M608" s="3"/>
      <c r="N608" s="3"/>
      <c r="O608" s="3"/>
      <c r="P608" s="3"/>
      <c r="Q608" s="6"/>
      <c r="R608" s="3"/>
      <c r="S608" s="3"/>
      <c r="T608" s="3"/>
      <c r="U608" s="3"/>
      <c r="V608" s="3"/>
      <c r="W608" s="3"/>
      <c r="X608" s="3"/>
      <c r="Y608" s="3"/>
      <c r="Z608" s="3"/>
    </row>
    <row r="609" spans="11:26" ht="15.75" customHeight="1" x14ac:dyDescent="0.3">
      <c r="K609" s="79"/>
      <c r="L609" s="79"/>
      <c r="M609" s="3"/>
      <c r="N609" s="3"/>
      <c r="O609" s="3"/>
      <c r="P609" s="3"/>
      <c r="Q609" s="6"/>
      <c r="R609" s="3"/>
      <c r="S609" s="3"/>
      <c r="T609" s="3"/>
      <c r="U609" s="3"/>
      <c r="V609" s="3"/>
      <c r="W609" s="3"/>
      <c r="X609" s="3"/>
      <c r="Y609" s="3"/>
      <c r="Z609" s="3"/>
    </row>
    <row r="610" spans="11:26" ht="15.75" customHeight="1" x14ac:dyDescent="0.3">
      <c r="K610" s="79"/>
      <c r="L610" s="79"/>
      <c r="M610" s="3"/>
      <c r="N610" s="3"/>
      <c r="O610" s="3"/>
      <c r="P610" s="3"/>
      <c r="Q610" s="6"/>
      <c r="R610" s="3"/>
      <c r="S610" s="3"/>
      <c r="T610" s="3"/>
      <c r="U610" s="3"/>
      <c r="V610" s="3"/>
      <c r="W610" s="3"/>
      <c r="X610" s="3"/>
      <c r="Y610" s="3"/>
      <c r="Z610" s="3"/>
    </row>
    <row r="611" spans="11:26" ht="15.75" customHeight="1" x14ac:dyDescent="0.3">
      <c r="K611" s="79"/>
      <c r="L611" s="79"/>
      <c r="M611" s="3"/>
      <c r="N611" s="3"/>
      <c r="O611" s="3"/>
      <c r="P611" s="3"/>
      <c r="Q611" s="6"/>
      <c r="R611" s="3"/>
      <c r="S611" s="3"/>
      <c r="T611" s="3"/>
      <c r="U611" s="3"/>
      <c r="V611" s="3"/>
      <c r="W611" s="3"/>
      <c r="X611" s="3"/>
      <c r="Y611" s="3"/>
      <c r="Z611" s="3"/>
    </row>
    <row r="612" spans="11:26" ht="15.75" customHeight="1" x14ac:dyDescent="0.3">
      <c r="K612" s="79"/>
      <c r="L612" s="79"/>
      <c r="M612" s="3"/>
      <c r="N612" s="3"/>
      <c r="O612" s="3"/>
      <c r="P612" s="3"/>
      <c r="Q612" s="6"/>
      <c r="R612" s="3"/>
      <c r="S612" s="3"/>
      <c r="T612" s="3"/>
      <c r="U612" s="3"/>
      <c r="V612" s="3"/>
      <c r="W612" s="3"/>
      <c r="X612" s="3"/>
      <c r="Y612" s="3"/>
      <c r="Z612" s="3"/>
    </row>
    <row r="613" spans="11:26" ht="15.75" customHeight="1" x14ac:dyDescent="0.3">
      <c r="K613" s="79"/>
      <c r="L613" s="79"/>
      <c r="M613" s="3"/>
      <c r="N613" s="3"/>
      <c r="O613" s="3"/>
      <c r="P613" s="3"/>
      <c r="Q613" s="6"/>
      <c r="R613" s="3"/>
      <c r="S613" s="3"/>
      <c r="T613" s="3"/>
      <c r="U613" s="3"/>
      <c r="V613" s="3"/>
      <c r="W613" s="3"/>
      <c r="X613" s="3"/>
      <c r="Y613" s="3"/>
      <c r="Z613" s="3"/>
    </row>
    <row r="614" spans="11:26" ht="15.75" customHeight="1" x14ac:dyDescent="0.3">
      <c r="K614" s="79"/>
      <c r="L614" s="79"/>
      <c r="M614" s="3"/>
      <c r="N614" s="3"/>
      <c r="O614" s="3"/>
      <c r="P614" s="3"/>
      <c r="Q614" s="6"/>
      <c r="R614" s="3"/>
      <c r="S614" s="3"/>
      <c r="T614" s="3"/>
      <c r="U614" s="3"/>
      <c r="V614" s="3"/>
      <c r="W614" s="3"/>
      <c r="X614" s="3"/>
      <c r="Y614" s="3"/>
      <c r="Z614" s="3"/>
    </row>
    <row r="615" spans="11:26" ht="15.75" customHeight="1" x14ac:dyDescent="0.3">
      <c r="K615" s="79"/>
      <c r="L615" s="79"/>
      <c r="M615" s="3"/>
      <c r="N615" s="3"/>
      <c r="O615" s="3"/>
      <c r="P615" s="3"/>
      <c r="Q615" s="6"/>
      <c r="R615" s="3"/>
      <c r="S615" s="3"/>
      <c r="T615" s="3"/>
      <c r="U615" s="3"/>
      <c r="V615" s="3"/>
      <c r="W615" s="3"/>
      <c r="X615" s="3"/>
      <c r="Y615" s="3"/>
      <c r="Z615" s="3"/>
    </row>
    <row r="616" spans="11:26" ht="15.75" customHeight="1" x14ac:dyDescent="0.3">
      <c r="K616" s="79"/>
      <c r="L616" s="79"/>
      <c r="M616" s="3"/>
      <c r="N616" s="3"/>
      <c r="O616" s="3"/>
      <c r="P616" s="3"/>
      <c r="Q616" s="6"/>
      <c r="R616" s="3"/>
      <c r="S616" s="3"/>
      <c r="T616" s="3"/>
      <c r="U616" s="3"/>
      <c r="V616" s="3"/>
      <c r="W616" s="3"/>
      <c r="X616" s="3"/>
      <c r="Y616" s="3"/>
      <c r="Z616" s="3"/>
    </row>
    <row r="617" spans="11:26" ht="15.75" customHeight="1" x14ac:dyDescent="0.3">
      <c r="K617" s="79"/>
      <c r="L617" s="79"/>
      <c r="M617" s="3"/>
      <c r="N617" s="3"/>
      <c r="O617" s="3"/>
      <c r="P617" s="3"/>
      <c r="Q617" s="6"/>
      <c r="R617" s="3"/>
      <c r="S617" s="3"/>
      <c r="T617" s="3"/>
      <c r="U617" s="3"/>
      <c r="V617" s="3"/>
      <c r="W617" s="3"/>
      <c r="X617" s="3"/>
      <c r="Y617" s="3"/>
      <c r="Z617" s="3"/>
    </row>
    <row r="618" spans="11:26" ht="15.75" customHeight="1" x14ac:dyDescent="0.3">
      <c r="K618" s="79"/>
      <c r="L618" s="79"/>
      <c r="M618" s="3"/>
      <c r="N618" s="3"/>
      <c r="O618" s="3"/>
      <c r="P618" s="3"/>
      <c r="Q618" s="6"/>
      <c r="R618" s="3"/>
      <c r="S618" s="3"/>
      <c r="T618" s="3"/>
      <c r="U618" s="3"/>
      <c r="V618" s="3"/>
      <c r="W618" s="3"/>
      <c r="X618" s="3"/>
      <c r="Y618" s="3"/>
      <c r="Z618" s="3"/>
    </row>
    <row r="619" spans="11:26" ht="15.75" customHeight="1" x14ac:dyDescent="0.3">
      <c r="K619" s="79"/>
      <c r="L619" s="79"/>
      <c r="M619" s="3"/>
      <c r="N619" s="3"/>
      <c r="O619" s="3"/>
      <c r="P619" s="3"/>
      <c r="Q619" s="6"/>
      <c r="R619" s="3"/>
      <c r="S619" s="3"/>
      <c r="T619" s="3"/>
      <c r="U619" s="3"/>
      <c r="V619" s="3"/>
      <c r="W619" s="3"/>
      <c r="X619" s="3"/>
      <c r="Y619" s="3"/>
      <c r="Z619" s="3"/>
    </row>
    <row r="620" spans="11:26" ht="15.75" customHeight="1" x14ac:dyDescent="0.3">
      <c r="K620" s="79"/>
      <c r="L620" s="79"/>
      <c r="M620" s="3"/>
      <c r="N620" s="3"/>
      <c r="O620" s="3"/>
      <c r="P620" s="3"/>
      <c r="Q620" s="6"/>
      <c r="R620" s="3"/>
      <c r="S620" s="3"/>
      <c r="T620" s="3"/>
      <c r="U620" s="3"/>
      <c r="V620" s="3"/>
      <c r="W620" s="3"/>
      <c r="X620" s="3"/>
      <c r="Y620" s="3"/>
      <c r="Z620" s="3"/>
    </row>
    <row r="621" spans="11:26" ht="15.75" customHeight="1" x14ac:dyDescent="0.3">
      <c r="K621" s="79"/>
      <c r="L621" s="79"/>
      <c r="M621" s="3"/>
      <c r="N621" s="3"/>
      <c r="O621" s="3"/>
      <c r="P621" s="3"/>
      <c r="Q621" s="6"/>
      <c r="R621" s="3"/>
      <c r="S621" s="3"/>
      <c r="T621" s="3"/>
      <c r="U621" s="3"/>
      <c r="V621" s="3"/>
      <c r="W621" s="3"/>
      <c r="X621" s="3"/>
      <c r="Y621" s="3"/>
      <c r="Z621" s="3"/>
    </row>
    <row r="622" spans="11:26" ht="15.75" customHeight="1" x14ac:dyDescent="0.3">
      <c r="K622" s="79"/>
      <c r="L622" s="79"/>
      <c r="M622" s="3"/>
      <c r="N622" s="3"/>
      <c r="O622" s="3"/>
      <c r="P622" s="3"/>
      <c r="Q622" s="6"/>
      <c r="R622" s="3"/>
      <c r="S622" s="3"/>
      <c r="T622" s="3"/>
      <c r="U622" s="3"/>
      <c r="V622" s="3"/>
      <c r="W622" s="3"/>
      <c r="X622" s="3"/>
      <c r="Y622" s="3"/>
      <c r="Z622" s="3"/>
    </row>
    <row r="623" spans="11:26" ht="15.75" customHeight="1" x14ac:dyDescent="0.3">
      <c r="K623" s="79"/>
      <c r="L623" s="79"/>
      <c r="M623" s="3"/>
      <c r="N623" s="3"/>
      <c r="O623" s="3"/>
      <c r="P623" s="3"/>
      <c r="Q623" s="6"/>
      <c r="R623" s="3"/>
      <c r="S623" s="3"/>
      <c r="T623" s="3"/>
      <c r="U623" s="3"/>
      <c r="V623" s="3"/>
      <c r="W623" s="3"/>
      <c r="X623" s="3"/>
      <c r="Y623" s="3"/>
      <c r="Z623" s="3"/>
    </row>
    <row r="624" spans="11:26" ht="15.75" customHeight="1" x14ac:dyDescent="0.3">
      <c r="K624" s="79"/>
      <c r="L624" s="79"/>
      <c r="M624" s="3"/>
      <c r="N624" s="3"/>
      <c r="O624" s="3"/>
      <c r="P624" s="3"/>
      <c r="Q624" s="6"/>
      <c r="R624" s="3"/>
      <c r="S624" s="3"/>
      <c r="T624" s="3"/>
      <c r="U624" s="3"/>
      <c r="V624" s="3"/>
      <c r="W624" s="3"/>
      <c r="X624" s="3"/>
      <c r="Y624" s="3"/>
      <c r="Z624" s="3"/>
    </row>
    <row r="625" spans="11:26" ht="15.75" customHeight="1" x14ac:dyDescent="0.3">
      <c r="K625" s="79"/>
      <c r="L625" s="79"/>
      <c r="M625" s="3"/>
      <c r="N625" s="3"/>
      <c r="O625" s="3"/>
      <c r="P625" s="3"/>
      <c r="Q625" s="6"/>
      <c r="R625" s="3"/>
      <c r="S625" s="3"/>
      <c r="T625" s="3"/>
      <c r="U625" s="3"/>
      <c r="V625" s="3"/>
      <c r="W625" s="3"/>
      <c r="X625" s="3"/>
      <c r="Y625" s="3"/>
      <c r="Z625" s="3"/>
    </row>
    <row r="626" spans="11:26" ht="15.75" customHeight="1" x14ac:dyDescent="0.3">
      <c r="K626" s="79"/>
      <c r="L626" s="79"/>
      <c r="M626" s="3"/>
      <c r="N626" s="3"/>
      <c r="O626" s="3"/>
      <c r="P626" s="3"/>
      <c r="Q626" s="6"/>
      <c r="R626" s="3"/>
      <c r="S626" s="3"/>
      <c r="T626" s="3"/>
      <c r="U626" s="3"/>
      <c r="V626" s="3"/>
      <c r="W626" s="3"/>
      <c r="X626" s="3"/>
      <c r="Y626" s="3"/>
      <c r="Z626" s="3"/>
    </row>
    <row r="627" spans="11:26" ht="15.75" customHeight="1" x14ac:dyDescent="0.3">
      <c r="K627" s="79"/>
      <c r="L627" s="79"/>
      <c r="M627" s="3"/>
      <c r="N627" s="3"/>
      <c r="O627" s="3"/>
      <c r="P627" s="3"/>
      <c r="Q627" s="6"/>
      <c r="R627" s="3"/>
      <c r="S627" s="3"/>
      <c r="T627" s="3"/>
      <c r="U627" s="3"/>
      <c r="V627" s="3"/>
      <c r="W627" s="3"/>
      <c r="X627" s="3"/>
      <c r="Y627" s="3"/>
      <c r="Z627" s="3"/>
    </row>
    <row r="628" spans="11:26" ht="15.75" customHeight="1" x14ac:dyDescent="0.3">
      <c r="K628" s="79"/>
      <c r="L628" s="79"/>
      <c r="M628" s="3"/>
      <c r="N628" s="3"/>
      <c r="O628" s="3"/>
      <c r="P628" s="3"/>
      <c r="Q628" s="6"/>
      <c r="R628" s="3"/>
      <c r="S628" s="3"/>
      <c r="T628" s="3"/>
      <c r="U628" s="3"/>
      <c r="V628" s="3"/>
      <c r="W628" s="3"/>
      <c r="X628" s="3"/>
      <c r="Y628" s="3"/>
      <c r="Z628" s="3"/>
    </row>
    <row r="629" spans="11:26" ht="15.75" customHeight="1" x14ac:dyDescent="0.3">
      <c r="K629" s="79"/>
      <c r="L629" s="79"/>
      <c r="M629" s="3"/>
      <c r="N629" s="3"/>
      <c r="O629" s="3"/>
      <c r="P629" s="3"/>
      <c r="Q629" s="6"/>
      <c r="R629" s="3"/>
      <c r="S629" s="3"/>
      <c r="T629" s="3"/>
      <c r="U629" s="3"/>
      <c r="V629" s="3"/>
      <c r="W629" s="3"/>
      <c r="X629" s="3"/>
      <c r="Y629" s="3"/>
      <c r="Z629" s="3"/>
    </row>
    <row r="630" spans="11:26" ht="15.75" customHeight="1" x14ac:dyDescent="0.3">
      <c r="K630" s="79"/>
      <c r="L630" s="79"/>
      <c r="M630" s="3"/>
      <c r="N630" s="3"/>
      <c r="O630" s="3"/>
      <c r="P630" s="3"/>
      <c r="Q630" s="6"/>
      <c r="R630" s="3"/>
      <c r="S630" s="3"/>
      <c r="T630" s="3"/>
      <c r="U630" s="3"/>
      <c r="V630" s="3"/>
      <c r="W630" s="3"/>
      <c r="X630" s="3"/>
      <c r="Y630" s="3"/>
      <c r="Z630" s="3"/>
    </row>
    <row r="631" spans="11:26" ht="15.75" customHeight="1" x14ac:dyDescent="0.3">
      <c r="K631" s="79"/>
      <c r="L631" s="79"/>
      <c r="M631" s="3"/>
      <c r="N631" s="3"/>
      <c r="O631" s="3"/>
      <c r="P631" s="3"/>
      <c r="Q631" s="6"/>
      <c r="R631" s="3"/>
      <c r="S631" s="3"/>
      <c r="T631" s="3"/>
      <c r="U631" s="3"/>
      <c r="V631" s="3"/>
      <c r="W631" s="3"/>
      <c r="X631" s="3"/>
      <c r="Y631" s="3"/>
      <c r="Z631" s="3"/>
    </row>
    <row r="632" spans="11:26" ht="15.75" customHeight="1" x14ac:dyDescent="0.3">
      <c r="K632" s="79"/>
      <c r="L632" s="79"/>
      <c r="M632" s="3"/>
      <c r="N632" s="3"/>
      <c r="O632" s="3"/>
      <c r="P632" s="3"/>
      <c r="Q632" s="6"/>
      <c r="R632" s="3"/>
      <c r="S632" s="3"/>
      <c r="T632" s="3"/>
      <c r="U632" s="3"/>
      <c r="V632" s="3"/>
      <c r="W632" s="3"/>
      <c r="X632" s="3"/>
      <c r="Y632" s="3"/>
      <c r="Z632" s="3"/>
    </row>
    <row r="633" spans="11:26" ht="15.75" customHeight="1" x14ac:dyDescent="0.3">
      <c r="K633" s="79"/>
      <c r="L633" s="79"/>
      <c r="M633" s="3"/>
      <c r="N633" s="3"/>
      <c r="O633" s="3"/>
      <c r="P633" s="3"/>
      <c r="Q633" s="6"/>
      <c r="R633" s="3"/>
      <c r="S633" s="3"/>
      <c r="T633" s="3"/>
      <c r="U633" s="3"/>
      <c r="V633" s="3"/>
      <c r="W633" s="3"/>
      <c r="X633" s="3"/>
      <c r="Y633" s="3"/>
      <c r="Z633" s="3"/>
    </row>
    <row r="634" spans="11:26" ht="15.75" customHeight="1" x14ac:dyDescent="0.3">
      <c r="K634" s="79"/>
      <c r="L634" s="79"/>
      <c r="M634" s="3"/>
      <c r="N634" s="3"/>
      <c r="O634" s="3"/>
      <c r="P634" s="3"/>
      <c r="Q634" s="6"/>
      <c r="R634" s="3"/>
      <c r="S634" s="3"/>
      <c r="T634" s="3"/>
      <c r="U634" s="3"/>
      <c r="V634" s="3"/>
      <c r="W634" s="3"/>
      <c r="X634" s="3"/>
      <c r="Y634" s="3"/>
      <c r="Z634" s="3"/>
    </row>
    <row r="635" spans="11:26" ht="15.75" customHeight="1" x14ac:dyDescent="0.3">
      <c r="K635" s="79"/>
      <c r="L635" s="79"/>
      <c r="M635" s="3"/>
      <c r="N635" s="3"/>
      <c r="O635" s="3"/>
      <c r="P635" s="3"/>
      <c r="Q635" s="6"/>
      <c r="R635" s="3"/>
      <c r="S635" s="3"/>
      <c r="T635" s="3"/>
      <c r="U635" s="3"/>
      <c r="V635" s="3"/>
      <c r="W635" s="3"/>
      <c r="X635" s="3"/>
      <c r="Y635" s="3"/>
      <c r="Z635" s="3"/>
    </row>
    <row r="636" spans="11:26" ht="15.75" customHeight="1" x14ac:dyDescent="0.3">
      <c r="K636" s="79"/>
      <c r="L636" s="79"/>
      <c r="M636" s="3"/>
      <c r="N636" s="3"/>
      <c r="O636" s="3"/>
      <c r="P636" s="3"/>
      <c r="Q636" s="6"/>
      <c r="R636" s="3"/>
      <c r="S636" s="3"/>
      <c r="T636" s="3"/>
      <c r="U636" s="3"/>
      <c r="V636" s="3"/>
      <c r="W636" s="3"/>
      <c r="X636" s="3"/>
      <c r="Y636" s="3"/>
      <c r="Z636" s="3"/>
    </row>
    <row r="637" spans="11:26" ht="15.75" customHeight="1" x14ac:dyDescent="0.3">
      <c r="K637" s="79"/>
      <c r="L637" s="79"/>
      <c r="M637" s="3"/>
      <c r="N637" s="3"/>
      <c r="O637" s="3"/>
      <c r="P637" s="3"/>
      <c r="Q637" s="6"/>
      <c r="R637" s="3"/>
      <c r="S637" s="3"/>
      <c r="T637" s="3"/>
      <c r="U637" s="3"/>
      <c r="V637" s="3"/>
      <c r="W637" s="3"/>
      <c r="X637" s="3"/>
      <c r="Y637" s="3"/>
      <c r="Z637" s="3"/>
    </row>
    <row r="638" spans="11:26" ht="15.75" customHeight="1" x14ac:dyDescent="0.3">
      <c r="K638" s="79"/>
      <c r="L638" s="79"/>
      <c r="M638" s="3"/>
      <c r="N638" s="3"/>
      <c r="O638" s="3"/>
      <c r="P638" s="3"/>
      <c r="Q638" s="6"/>
      <c r="R638" s="3"/>
      <c r="S638" s="3"/>
      <c r="T638" s="3"/>
      <c r="U638" s="3"/>
      <c r="V638" s="3"/>
      <c r="W638" s="3"/>
      <c r="X638" s="3"/>
      <c r="Y638" s="3"/>
      <c r="Z638" s="3"/>
    </row>
    <row r="639" spans="11:26" ht="15.75" customHeight="1" x14ac:dyDescent="0.3">
      <c r="K639" s="79"/>
      <c r="L639" s="79"/>
      <c r="M639" s="3"/>
      <c r="N639" s="3"/>
      <c r="O639" s="3"/>
      <c r="P639" s="3"/>
      <c r="Q639" s="6"/>
      <c r="R639" s="3"/>
      <c r="S639" s="3"/>
      <c r="T639" s="3"/>
      <c r="U639" s="3"/>
      <c r="V639" s="3"/>
      <c r="W639" s="3"/>
      <c r="X639" s="3"/>
      <c r="Y639" s="3"/>
      <c r="Z639" s="3"/>
    </row>
    <row r="640" spans="11:26" ht="15.75" customHeight="1" x14ac:dyDescent="0.3">
      <c r="K640" s="79"/>
      <c r="L640" s="79"/>
      <c r="M640" s="3"/>
      <c r="N640" s="3"/>
      <c r="O640" s="3"/>
      <c r="P640" s="3"/>
      <c r="Q640" s="6"/>
      <c r="R640" s="3"/>
      <c r="S640" s="3"/>
      <c r="T640" s="3"/>
      <c r="U640" s="3"/>
      <c r="V640" s="3"/>
      <c r="W640" s="3"/>
      <c r="X640" s="3"/>
      <c r="Y640" s="3"/>
      <c r="Z640" s="3"/>
    </row>
    <row r="641" spans="11:26" ht="15.75" customHeight="1" x14ac:dyDescent="0.3">
      <c r="K641" s="79"/>
      <c r="L641" s="79"/>
      <c r="M641" s="3"/>
      <c r="N641" s="3"/>
      <c r="O641" s="3"/>
      <c r="P641" s="3"/>
      <c r="Q641" s="6"/>
      <c r="R641" s="3"/>
      <c r="S641" s="3"/>
      <c r="T641" s="3"/>
      <c r="U641" s="3"/>
      <c r="V641" s="3"/>
      <c r="W641" s="3"/>
      <c r="X641" s="3"/>
      <c r="Y641" s="3"/>
      <c r="Z641" s="3"/>
    </row>
    <row r="642" spans="11:26" ht="15.75" customHeight="1" x14ac:dyDescent="0.3">
      <c r="K642" s="79"/>
      <c r="L642" s="79"/>
      <c r="M642" s="3"/>
      <c r="N642" s="3"/>
      <c r="O642" s="3"/>
      <c r="P642" s="3"/>
      <c r="Q642" s="6"/>
      <c r="R642" s="3"/>
      <c r="S642" s="3"/>
      <c r="T642" s="3"/>
      <c r="U642" s="3"/>
      <c r="V642" s="3"/>
      <c r="W642" s="3"/>
      <c r="X642" s="3"/>
      <c r="Y642" s="3"/>
      <c r="Z642" s="3"/>
    </row>
    <row r="643" spans="11:26" ht="15.75" customHeight="1" x14ac:dyDescent="0.3">
      <c r="K643" s="79"/>
      <c r="L643" s="79"/>
      <c r="M643" s="3"/>
      <c r="N643" s="3"/>
      <c r="O643" s="3"/>
      <c r="P643" s="3"/>
      <c r="Q643" s="6"/>
      <c r="R643" s="3"/>
      <c r="S643" s="3"/>
      <c r="T643" s="3"/>
      <c r="U643" s="3"/>
      <c r="V643" s="3"/>
      <c r="W643" s="3"/>
      <c r="X643" s="3"/>
      <c r="Y643" s="3"/>
      <c r="Z643" s="3"/>
    </row>
    <row r="644" spans="11:26" ht="15.75" customHeight="1" x14ac:dyDescent="0.3">
      <c r="K644" s="79"/>
      <c r="L644" s="79"/>
      <c r="M644" s="3"/>
      <c r="N644" s="3"/>
      <c r="O644" s="3"/>
      <c r="P644" s="3"/>
      <c r="Q644" s="6"/>
      <c r="R644" s="3"/>
      <c r="S644" s="3"/>
      <c r="T644" s="3"/>
      <c r="U644" s="3"/>
      <c r="V644" s="3"/>
      <c r="W644" s="3"/>
      <c r="X644" s="3"/>
      <c r="Y644" s="3"/>
      <c r="Z644" s="3"/>
    </row>
    <row r="645" spans="11:26" ht="15.75" customHeight="1" x14ac:dyDescent="0.3">
      <c r="K645" s="79"/>
      <c r="L645" s="79"/>
      <c r="M645" s="3"/>
      <c r="N645" s="3"/>
      <c r="O645" s="3"/>
      <c r="P645" s="3"/>
      <c r="Q645" s="6"/>
      <c r="R645" s="3"/>
      <c r="S645" s="3"/>
      <c r="T645" s="3"/>
      <c r="U645" s="3"/>
      <c r="V645" s="3"/>
      <c r="W645" s="3"/>
      <c r="X645" s="3"/>
      <c r="Y645" s="3"/>
      <c r="Z645" s="3"/>
    </row>
    <row r="646" spans="11:26" ht="15.75" customHeight="1" x14ac:dyDescent="0.3">
      <c r="K646" s="79"/>
      <c r="L646" s="79"/>
      <c r="M646" s="3"/>
      <c r="N646" s="3"/>
      <c r="O646" s="3"/>
      <c r="P646" s="3"/>
      <c r="Q646" s="6"/>
      <c r="R646" s="3"/>
      <c r="S646" s="3"/>
      <c r="T646" s="3"/>
      <c r="U646" s="3"/>
      <c r="V646" s="3"/>
      <c r="W646" s="3"/>
      <c r="X646" s="3"/>
      <c r="Y646" s="3"/>
      <c r="Z646" s="3"/>
    </row>
    <row r="647" spans="11:26" ht="15.75" customHeight="1" x14ac:dyDescent="0.3">
      <c r="K647" s="79"/>
      <c r="L647" s="79"/>
      <c r="M647" s="3"/>
      <c r="N647" s="3"/>
      <c r="O647" s="3"/>
      <c r="P647" s="3"/>
      <c r="Q647" s="6"/>
      <c r="R647" s="3"/>
      <c r="S647" s="3"/>
      <c r="T647" s="3"/>
      <c r="U647" s="3"/>
      <c r="V647" s="3"/>
      <c r="W647" s="3"/>
      <c r="X647" s="3"/>
      <c r="Y647" s="3"/>
      <c r="Z647" s="3"/>
    </row>
    <row r="648" spans="11:26" ht="15.75" customHeight="1" x14ac:dyDescent="0.3">
      <c r="K648" s="79"/>
      <c r="L648" s="79"/>
      <c r="M648" s="3"/>
      <c r="N648" s="3"/>
      <c r="O648" s="3"/>
      <c r="P648" s="3"/>
      <c r="Q648" s="6"/>
      <c r="R648" s="3"/>
      <c r="S648" s="3"/>
      <c r="T648" s="3"/>
      <c r="U648" s="3"/>
      <c r="V648" s="3"/>
      <c r="W648" s="3"/>
      <c r="X648" s="3"/>
      <c r="Y648" s="3"/>
      <c r="Z648" s="3"/>
    </row>
    <row r="649" spans="11:26" ht="15.75" customHeight="1" x14ac:dyDescent="0.3">
      <c r="K649" s="79"/>
      <c r="L649" s="79"/>
      <c r="M649" s="3"/>
      <c r="N649" s="3"/>
      <c r="O649" s="3"/>
      <c r="P649" s="3"/>
      <c r="Q649" s="6"/>
      <c r="R649" s="3"/>
      <c r="S649" s="3"/>
      <c r="T649" s="3"/>
      <c r="U649" s="3"/>
      <c r="V649" s="3"/>
      <c r="W649" s="3"/>
      <c r="X649" s="3"/>
      <c r="Y649" s="3"/>
      <c r="Z649" s="3"/>
    </row>
    <row r="650" spans="11:26" ht="15.75" customHeight="1" x14ac:dyDescent="0.3">
      <c r="K650" s="79"/>
      <c r="L650" s="79"/>
      <c r="M650" s="3"/>
      <c r="N650" s="3"/>
      <c r="O650" s="3"/>
      <c r="P650" s="3"/>
      <c r="Q650" s="6"/>
      <c r="R650" s="3"/>
      <c r="S650" s="3"/>
      <c r="T650" s="3"/>
      <c r="U650" s="3"/>
      <c r="V650" s="3"/>
      <c r="W650" s="3"/>
      <c r="X650" s="3"/>
      <c r="Y650" s="3"/>
      <c r="Z650" s="3"/>
    </row>
    <row r="651" spans="11:26" ht="15.75" customHeight="1" x14ac:dyDescent="0.3">
      <c r="K651" s="79"/>
      <c r="L651" s="79"/>
      <c r="M651" s="3"/>
      <c r="N651" s="3"/>
      <c r="O651" s="3"/>
      <c r="P651" s="3"/>
      <c r="Q651" s="6"/>
      <c r="R651" s="3"/>
      <c r="S651" s="3"/>
      <c r="T651" s="3"/>
      <c r="U651" s="3"/>
      <c r="V651" s="3"/>
      <c r="W651" s="3"/>
      <c r="X651" s="3"/>
      <c r="Y651" s="3"/>
      <c r="Z651" s="3"/>
    </row>
    <row r="652" spans="11:26" ht="15.75" customHeight="1" x14ac:dyDescent="0.3">
      <c r="K652" s="79"/>
      <c r="L652" s="79"/>
      <c r="M652" s="3"/>
      <c r="N652" s="3"/>
      <c r="O652" s="3"/>
      <c r="P652" s="3"/>
      <c r="Q652" s="6"/>
      <c r="R652" s="3"/>
      <c r="S652" s="3"/>
      <c r="T652" s="3"/>
      <c r="U652" s="3"/>
      <c r="V652" s="3"/>
      <c r="W652" s="3"/>
      <c r="X652" s="3"/>
      <c r="Y652" s="3"/>
      <c r="Z652" s="3"/>
    </row>
    <row r="653" spans="11:26" ht="15.75" customHeight="1" x14ac:dyDescent="0.3">
      <c r="K653" s="79"/>
      <c r="L653" s="79"/>
      <c r="M653" s="3"/>
      <c r="N653" s="3"/>
      <c r="O653" s="3"/>
      <c r="P653" s="3"/>
      <c r="Q653" s="6"/>
      <c r="R653" s="3"/>
      <c r="S653" s="3"/>
      <c r="T653" s="3"/>
      <c r="U653" s="3"/>
      <c r="V653" s="3"/>
      <c r="W653" s="3"/>
      <c r="X653" s="3"/>
      <c r="Y653" s="3"/>
      <c r="Z653" s="3"/>
    </row>
    <row r="654" spans="11:26" ht="15.75" customHeight="1" x14ac:dyDescent="0.3">
      <c r="K654" s="79"/>
      <c r="L654" s="79"/>
      <c r="M654" s="3"/>
      <c r="N654" s="3"/>
      <c r="O654" s="3"/>
      <c r="P654" s="3"/>
      <c r="Q654" s="6"/>
      <c r="R654" s="3"/>
      <c r="S654" s="3"/>
      <c r="T654" s="3"/>
      <c r="U654" s="3"/>
      <c r="V654" s="3"/>
      <c r="W654" s="3"/>
      <c r="X654" s="3"/>
      <c r="Y654" s="3"/>
      <c r="Z654" s="3"/>
    </row>
    <row r="655" spans="11:26" ht="15.75" customHeight="1" x14ac:dyDescent="0.3">
      <c r="K655" s="79"/>
      <c r="L655" s="79"/>
      <c r="M655" s="3"/>
      <c r="N655" s="3"/>
      <c r="O655" s="3"/>
      <c r="P655" s="3"/>
      <c r="Q655" s="6"/>
      <c r="R655" s="3"/>
      <c r="S655" s="3"/>
      <c r="T655" s="3"/>
      <c r="U655" s="3"/>
      <c r="V655" s="3"/>
      <c r="W655" s="3"/>
      <c r="X655" s="3"/>
      <c r="Y655" s="3"/>
      <c r="Z655" s="3"/>
    </row>
    <row r="656" spans="11:26" ht="15.75" customHeight="1" x14ac:dyDescent="0.3">
      <c r="K656" s="79"/>
      <c r="L656" s="79"/>
      <c r="M656" s="3"/>
      <c r="N656" s="3"/>
      <c r="O656" s="3"/>
      <c r="P656" s="3"/>
      <c r="Q656" s="6"/>
      <c r="R656" s="3"/>
      <c r="S656" s="3"/>
      <c r="T656" s="3"/>
      <c r="U656" s="3"/>
      <c r="V656" s="3"/>
      <c r="W656" s="3"/>
      <c r="X656" s="3"/>
      <c r="Y656" s="3"/>
      <c r="Z656" s="3"/>
    </row>
    <row r="657" spans="11:26" ht="15.75" customHeight="1" x14ac:dyDescent="0.3">
      <c r="K657" s="79"/>
      <c r="L657" s="79"/>
      <c r="M657" s="3"/>
      <c r="N657" s="3"/>
      <c r="O657" s="3"/>
      <c r="P657" s="3"/>
      <c r="Q657" s="6"/>
      <c r="R657" s="3"/>
      <c r="S657" s="3"/>
      <c r="T657" s="3"/>
      <c r="U657" s="3"/>
      <c r="V657" s="3"/>
      <c r="W657" s="3"/>
      <c r="X657" s="3"/>
      <c r="Y657" s="3"/>
      <c r="Z657" s="3"/>
    </row>
    <row r="658" spans="11:26" ht="15.75" customHeight="1" x14ac:dyDescent="0.3">
      <c r="K658" s="79"/>
      <c r="L658" s="79"/>
      <c r="M658" s="3"/>
      <c r="N658" s="3"/>
      <c r="O658" s="3"/>
      <c r="P658" s="3"/>
      <c r="Q658" s="6"/>
      <c r="R658" s="3"/>
      <c r="S658" s="3"/>
      <c r="T658" s="3"/>
      <c r="U658" s="3"/>
      <c r="V658" s="3"/>
      <c r="W658" s="3"/>
      <c r="X658" s="3"/>
      <c r="Y658" s="3"/>
      <c r="Z658" s="3"/>
    </row>
    <row r="659" spans="11:26" ht="15.75" customHeight="1" x14ac:dyDescent="0.3">
      <c r="K659" s="79"/>
      <c r="L659" s="79"/>
      <c r="M659" s="3"/>
      <c r="N659" s="3"/>
      <c r="O659" s="3"/>
      <c r="P659" s="3"/>
      <c r="Q659" s="6"/>
      <c r="R659" s="3"/>
      <c r="S659" s="3"/>
      <c r="T659" s="3"/>
      <c r="U659" s="3"/>
      <c r="V659" s="3"/>
      <c r="W659" s="3"/>
      <c r="X659" s="3"/>
      <c r="Y659" s="3"/>
      <c r="Z659" s="3"/>
    </row>
    <row r="660" spans="11:26" ht="15.75" customHeight="1" x14ac:dyDescent="0.3">
      <c r="K660" s="79"/>
      <c r="L660" s="79"/>
      <c r="M660" s="3"/>
      <c r="N660" s="3"/>
      <c r="O660" s="3"/>
      <c r="P660" s="3"/>
      <c r="Q660" s="6"/>
      <c r="R660" s="3"/>
      <c r="S660" s="3"/>
      <c r="T660" s="3"/>
      <c r="U660" s="3"/>
      <c r="V660" s="3"/>
      <c r="W660" s="3"/>
      <c r="X660" s="3"/>
      <c r="Y660" s="3"/>
      <c r="Z660" s="3"/>
    </row>
    <row r="661" spans="11:26" ht="15.75" customHeight="1" x14ac:dyDescent="0.3">
      <c r="K661" s="79"/>
      <c r="L661" s="79"/>
      <c r="M661" s="3"/>
      <c r="N661" s="3"/>
      <c r="O661" s="3"/>
      <c r="P661" s="3"/>
      <c r="Q661" s="6"/>
      <c r="R661" s="3"/>
      <c r="S661" s="3"/>
      <c r="T661" s="3"/>
      <c r="U661" s="3"/>
      <c r="V661" s="3"/>
      <c r="W661" s="3"/>
      <c r="X661" s="3"/>
      <c r="Y661" s="3"/>
      <c r="Z661" s="3"/>
    </row>
    <row r="662" spans="11:26" ht="15.75" customHeight="1" x14ac:dyDescent="0.3">
      <c r="K662" s="79"/>
      <c r="L662" s="79"/>
      <c r="M662" s="3"/>
      <c r="N662" s="3"/>
      <c r="O662" s="3"/>
      <c r="P662" s="3"/>
      <c r="Q662" s="6"/>
      <c r="R662" s="3"/>
      <c r="S662" s="3"/>
      <c r="T662" s="3"/>
      <c r="U662" s="3"/>
      <c r="V662" s="3"/>
      <c r="W662" s="3"/>
      <c r="X662" s="3"/>
      <c r="Y662" s="3"/>
      <c r="Z662" s="3"/>
    </row>
    <row r="663" spans="11:26" ht="15.75" customHeight="1" x14ac:dyDescent="0.3">
      <c r="K663" s="79"/>
      <c r="L663" s="79"/>
      <c r="M663" s="3"/>
      <c r="N663" s="3"/>
      <c r="O663" s="3"/>
      <c r="P663" s="3"/>
      <c r="Q663" s="6"/>
      <c r="R663" s="3"/>
      <c r="S663" s="3"/>
      <c r="T663" s="3"/>
      <c r="U663" s="3"/>
      <c r="V663" s="3"/>
      <c r="W663" s="3"/>
      <c r="X663" s="3"/>
      <c r="Y663" s="3"/>
      <c r="Z663" s="3"/>
    </row>
    <row r="664" spans="11:26" ht="15.75" customHeight="1" x14ac:dyDescent="0.3">
      <c r="K664" s="79"/>
      <c r="L664" s="79"/>
      <c r="M664" s="3"/>
      <c r="N664" s="3"/>
      <c r="O664" s="3"/>
      <c r="P664" s="3"/>
      <c r="Q664" s="6"/>
      <c r="R664" s="3"/>
      <c r="S664" s="3"/>
      <c r="T664" s="3"/>
      <c r="U664" s="3"/>
      <c r="V664" s="3"/>
      <c r="W664" s="3"/>
      <c r="X664" s="3"/>
      <c r="Y664" s="3"/>
      <c r="Z664" s="3"/>
    </row>
    <row r="665" spans="11:26" ht="15.75" customHeight="1" x14ac:dyDescent="0.3">
      <c r="K665" s="79"/>
      <c r="L665" s="79"/>
      <c r="M665" s="3"/>
      <c r="N665" s="3"/>
      <c r="O665" s="3"/>
      <c r="P665" s="3"/>
      <c r="Q665" s="6"/>
      <c r="R665" s="3"/>
      <c r="S665" s="3"/>
      <c r="T665" s="3"/>
      <c r="U665" s="3"/>
      <c r="V665" s="3"/>
      <c r="W665" s="3"/>
      <c r="X665" s="3"/>
      <c r="Y665" s="3"/>
      <c r="Z665" s="3"/>
    </row>
    <row r="666" spans="11:26" ht="15.75" customHeight="1" x14ac:dyDescent="0.3">
      <c r="K666" s="79"/>
      <c r="L666" s="79"/>
      <c r="M666" s="3"/>
      <c r="N666" s="3"/>
      <c r="O666" s="3"/>
      <c r="P666" s="3"/>
      <c r="Q666" s="6"/>
      <c r="R666" s="3"/>
      <c r="S666" s="3"/>
      <c r="T666" s="3"/>
      <c r="U666" s="3"/>
      <c r="V666" s="3"/>
      <c r="W666" s="3"/>
      <c r="X666" s="3"/>
      <c r="Y666" s="3"/>
      <c r="Z666" s="3"/>
    </row>
    <row r="667" spans="11:26" ht="15.75" customHeight="1" x14ac:dyDescent="0.3">
      <c r="K667" s="79"/>
      <c r="L667" s="79"/>
      <c r="M667" s="3"/>
      <c r="N667" s="3"/>
      <c r="O667" s="3"/>
      <c r="P667" s="3"/>
      <c r="Q667" s="6"/>
      <c r="R667" s="3"/>
      <c r="S667" s="3"/>
      <c r="T667" s="3"/>
      <c r="U667" s="3"/>
      <c r="V667" s="3"/>
      <c r="W667" s="3"/>
      <c r="X667" s="3"/>
      <c r="Y667" s="3"/>
      <c r="Z667" s="3"/>
    </row>
    <row r="668" spans="11:26" ht="15.75" customHeight="1" x14ac:dyDescent="0.3">
      <c r="K668" s="79"/>
      <c r="L668" s="79"/>
      <c r="M668" s="3"/>
      <c r="N668" s="3"/>
      <c r="O668" s="3"/>
      <c r="P668" s="3"/>
      <c r="Q668" s="6"/>
      <c r="R668" s="3"/>
      <c r="S668" s="3"/>
      <c r="T668" s="3"/>
      <c r="U668" s="3"/>
      <c r="V668" s="3"/>
      <c r="W668" s="3"/>
      <c r="X668" s="3"/>
      <c r="Y668" s="3"/>
      <c r="Z668" s="3"/>
    </row>
    <row r="669" spans="11:26" ht="15.75" customHeight="1" x14ac:dyDescent="0.3">
      <c r="K669" s="79"/>
      <c r="L669" s="79"/>
      <c r="M669" s="3"/>
      <c r="N669" s="3"/>
      <c r="O669" s="3"/>
      <c r="P669" s="3"/>
      <c r="Q669" s="6"/>
      <c r="R669" s="3"/>
      <c r="S669" s="3"/>
      <c r="T669" s="3"/>
      <c r="U669" s="3"/>
      <c r="V669" s="3"/>
      <c r="W669" s="3"/>
      <c r="X669" s="3"/>
      <c r="Y669" s="3"/>
      <c r="Z669" s="3"/>
    </row>
    <row r="670" spans="11:26" ht="15.75" customHeight="1" x14ac:dyDescent="0.3">
      <c r="K670" s="79"/>
      <c r="L670" s="79"/>
      <c r="M670" s="3"/>
      <c r="N670" s="3"/>
      <c r="O670" s="3"/>
      <c r="P670" s="3"/>
      <c r="Q670" s="6"/>
      <c r="R670" s="3"/>
      <c r="S670" s="3"/>
      <c r="T670" s="3"/>
      <c r="U670" s="3"/>
      <c r="V670" s="3"/>
      <c r="W670" s="3"/>
      <c r="X670" s="3"/>
      <c r="Y670" s="3"/>
      <c r="Z670" s="3"/>
    </row>
    <row r="671" spans="11:26" ht="15.75" customHeight="1" x14ac:dyDescent="0.3">
      <c r="K671" s="79"/>
      <c r="L671" s="79"/>
      <c r="M671" s="3"/>
      <c r="N671" s="3"/>
      <c r="O671" s="3"/>
      <c r="P671" s="3"/>
      <c r="Q671" s="6"/>
      <c r="R671" s="3"/>
      <c r="S671" s="3"/>
      <c r="T671" s="3"/>
      <c r="U671" s="3"/>
      <c r="V671" s="3"/>
      <c r="W671" s="3"/>
      <c r="X671" s="3"/>
      <c r="Y671" s="3"/>
      <c r="Z671" s="3"/>
    </row>
    <row r="672" spans="11:26" ht="15.75" customHeight="1" x14ac:dyDescent="0.3">
      <c r="K672" s="79"/>
      <c r="L672" s="79"/>
      <c r="M672" s="3"/>
      <c r="N672" s="3"/>
      <c r="O672" s="3"/>
      <c r="P672" s="3"/>
      <c r="Q672" s="6"/>
      <c r="R672" s="3"/>
      <c r="S672" s="3"/>
      <c r="T672" s="3"/>
      <c r="U672" s="3"/>
      <c r="V672" s="3"/>
      <c r="W672" s="3"/>
      <c r="X672" s="3"/>
      <c r="Y672" s="3"/>
      <c r="Z672" s="3"/>
    </row>
    <row r="673" spans="11:26" ht="15.75" customHeight="1" x14ac:dyDescent="0.3">
      <c r="K673" s="79"/>
      <c r="L673" s="79"/>
      <c r="M673" s="3"/>
      <c r="N673" s="3"/>
      <c r="O673" s="3"/>
      <c r="P673" s="3"/>
      <c r="Q673" s="6"/>
      <c r="R673" s="3"/>
      <c r="S673" s="3"/>
      <c r="T673" s="3"/>
      <c r="U673" s="3"/>
      <c r="V673" s="3"/>
      <c r="W673" s="3"/>
      <c r="X673" s="3"/>
      <c r="Y673" s="3"/>
      <c r="Z673" s="3"/>
    </row>
    <row r="674" spans="11:26" ht="15.75" customHeight="1" x14ac:dyDescent="0.3">
      <c r="K674" s="79"/>
      <c r="L674" s="79"/>
      <c r="M674" s="3"/>
      <c r="N674" s="3"/>
      <c r="O674" s="3"/>
      <c r="P674" s="3"/>
      <c r="Q674" s="6"/>
      <c r="R674" s="3"/>
      <c r="S674" s="3"/>
      <c r="T674" s="3"/>
      <c r="U674" s="3"/>
      <c r="V674" s="3"/>
      <c r="W674" s="3"/>
      <c r="X674" s="3"/>
      <c r="Y674" s="3"/>
      <c r="Z674" s="3"/>
    </row>
    <row r="675" spans="11:26" ht="15.75" customHeight="1" x14ac:dyDescent="0.3">
      <c r="K675" s="79"/>
      <c r="L675" s="79"/>
      <c r="M675" s="3"/>
      <c r="N675" s="3"/>
      <c r="O675" s="3"/>
      <c r="P675" s="3"/>
      <c r="Q675" s="6"/>
      <c r="R675" s="3"/>
      <c r="S675" s="3"/>
      <c r="T675" s="3"/>
      <c r="U675" s="3"/>
      <c r="V675" s="3"/>
      <c r="W675" s="3"/>
      <c r="X675" s="3"/>
      <c r="Y675" s="3"/>
      <c r="Z675" s="3"/>
    </row>
    <row r="676" spans="11:26" ht="15.75" customHeight="1" x14ac:dyDescent="0.3">
      <c r="K676" s="79"/>
      <c r="L676" s="79"/>
      <c r="M676" s="3"/>
      <c r="N676" s="3"/>
      <c r="O676" s="3"/>
      <c r="P676" s="3"/>
      <c r="Q676" s="6"/>
      <c r="R676" s="3"/>
      <c r="S676" s="3"/>
      <c r="T676" s="3"/>
      <c r="U676" s="3"/>
      <c r="V676" s="3"/>
      <c r="W676" s="3"/>
      <c r="X676" s="3"/>
      <c r="Y676" s="3"/>
      <c r="Z676" s="3"/>
    </row>
    <row r="677" spans="11:26" ht="15.75" customHeight="1" x14ac:dyDescent="0.3">
      <c r="K677" s="79"/>
      <c r="L677" s="79"/>
      <c r="M677" s="3"/>
      <c r="N677" s="3"/>
      <c r="O677" s="3"/>
      <c r="P677" s="3"/>
      <c r="Q677" s="6"/>
      <c r="R677" s="3"/>
      <c r="S677" s="3"/>
      <c r="T677" s="3"/>
      <c r="U677" s="3"/>
      <c r="V677" s="3"/>
      <c r="W677" s="3"/>
      <c r="X677" s="3"/>
      <c r="Y677" s="3"/>
      <c r="Z677" s="3"/>
    </row>
    <row r="678" spans="11:26" ht="15.75" customHeight="1" x14ac:dyDescent="0.3">
      <c r="K678" s="79"/>
      <c r="L678" s="79"/>
      <c r="M678" s="3"/>
      <c r="N678" s="3"/>
      <c r="O678" s="3"/>
      <c r="P678" s="3"/>
      <c r="Q678" s="6"/>
      <c r="R678" s="3"/>
      <c r="S678" s="3"/>
      <c r="T678" s="3"/>
      <c r="U678" s="3"/>
      <c r="V678" s="3"/>
      <c r="W678" s="3"/>
      <c r="X678" s="3"/>
      <c r="Y678" s="3"/>
      <c r="Z678" s="3"/>
    </row>
    <row r="679" spans="11:26" ht="15.75" customHeight="1" x14ac:dyDescent="0.3">
      <c r="K679" s="79"/>
      <c r="L679" s="79"/>
      <c r="M679" s="3"/>
      <c r="N679" s="3"/>
      <c r="O679" s="3"/>
      <c r="P679" s="3"/>
      <c r="Q679" s="6"/>
      <c r="R679" s="3"/>
      <c r="S679" s="3"/>
      <c r="T679" s="3"/>
      <c r="U679" s="3"/>
      <c r="V679" s="3"/>
      <c r="W679" s="3"/>
      <c r="X679" s="3"/>
      <c r="Y679" s="3"/>
      <c r="Z679" s="3"/>
    </row>
    <row r="680" spans="11:26" ht="15.75" customHeight="1" x14ac:dyDescent="0.3">
      <c r="K680" s="79"/>
      <c r="L680" s="79"/>
      <c r="M680" s="3"/>
      <c r="N680" s="3"/>
      <c r="O680" s="3"/>
      <c r="P680" s="3"/>
      <c r="Q680" s="6"/>
      <c r="R680" s="3"/>
      <c r="S680" s="3"/>
      <c r="T680" s="3"/>
      <c r="U680" s="3"/>
      <c r="V680" s="3"/>
      <c r="W680" s="3"/>
      <c r="X680" s="3"/>
      <c r="Y680" s="3"/>
      <c r="Z680" s="3"/>
    </row>
    <row r="681" spans="11:26" ht="15.75" customHeight="1" x14ac:dyDescent="0.3">
      <c r="K681" s="79"/>
      <c r="L681" s="79"/>
      <c r="M681" s="3"/>
      <c r="N681" s="3"/>
      <c r="O681" s="3"/>
      <c r="P681" s="3"/>
      <c r="Q681" s="6"/>
      <c r="R681" s="3"/>
      <c r="S681" s="3"/>
      <c r="T681" s="3"/>
      <c r="U681" s="3"/>
      <c r="V681" s="3"/>
      <c r="W681" s="3"/>
      <c r="X681" s="3"/>
      <c r="Y681" s="3"/>
      <c r="Z681" s="3"/>
    </row>
    <row r="682" spans="11:26" ht="15.75" customHeight="1" x14ac:dyDescent="0.3">
      <c r="K682" s="79"/>
      <c r="L682" s="79"/>
      <c r="M682" s="3"/>
      <c r="N682" s="3"/>
      <c r="O682" s="3"/>
      <c r="P682" s="3"/>
      <c r="Q682" s="6"/>
      <c r="R682" s="3"/>
      <c r="S682" s="3"/>
      <c r="T682" s="3"/>
      <c r="U682" s="3"/>
      <c r="V682" s="3"/>
      <c r="W682" s="3"/>
      <c r="X682" s="3"/>
      <c r="Y682" s="3"/>
      <c r="Z682" s="3"/>
    </row>
    <row r="683" spans="11:26" ht="15.75" customHeight="1" x14ac:dyDescent="0.3">
      <c r="K683" s="79"/>
      <c r="L683" s="79"/>
      <c r="M683" s="3"/>
      <c r="N683" s="3"/>
      <c r="O683" s="3"/>
      <c r="P683" s="3"/>
      <c r="Q683" s="6"/>
      <c r="R683" s="3"/>
      <c r="S683" s="3"/>
      <c r="T683" s="3"/>
      <c r="U683" s="3"/>
      <c r="V683" s="3"/>
      <c r="W683" s="3"/>
      <c r="X683" s="3"/>
      <c r="Y683" s="3"/>
      <c r="Z683" s="3"/>
    </row>
    <row r="684" spans="11:26" ht="15.75" customHeight="1" x14ac:dyDescent="0.3">
      <c r="K684" s="79"/>
      <c r="L684" s="79"/>
      <c r="M684" s="3"/>
      <c r="N684" s="3"/>
      <c r="O684" s="3"/>
      <c r="P684" s="3"/>
      <c r="Q684" s="6"/>
      <c r="R684" s="3"/>
      <c r="S684" s="3"/>
      <c r="T684" s="3"/>
      <c r="U684" s="3"/>
      <c r="V684" s="3"/>
      <c r="W684" s="3"/>
      <c r="X684" s="3"/>
      <c r="Y684" s="3"/>
      <c r="Z684" s="3"/>
    </row>
    <row r="685" spans="11:26" ht="15.75" customHeight="1" x14ac:dyDescent="0.3">
      <c r="K685" s="79"/>
      <c r="L685" s="79"/>
      <c r="M685" s="3"/>
      <c r="N685" s="3"/>
      <c r="O685" s="3"/>
      <c r="P685" s="3"/>
      <c r="Q685" s="6"/>
      <c r="R685" s="3"/>
      <c r="S685" s="3"/>
      <c r="T685" s="3"/>
      <c r="U685" s="3"/>
      <c r="V685" s="3"/>
      <c r="W685" s="3"/>
      <c r="X685" s="3"/>
      <c r="Y685" s="3"/>
      <c r="Z685" s="3"/>
    </row>
    <row r="686" spans="11:26" ht="15.75" customHeight="1" x14ac:dyDescent="0.3">
      <c r="K686" s="79"/>
      <c r="L686" s="79"/>
      <c r="M686" s="3"/>
      <c r="N686" s="3"/>
      <c r="O686" s="3"/>
      <c r="P686" s="3"/>
      <c r="Q686" s="6"/>
      <c r="R686" s="3"/>
      <c r="S686" s="3"/>
      <c r="T686" s="3"/>
      <c r="U686" s="3"/>
      <c r="V686" s="3"/>
      <c r="W686" s="3"/>
      <c r="X686" s="3"/>
      <c r="Y686" s="3"/>
      <c r="Z686" s="3"/>
    </row>
    <row r="687" spans="11:26" ht="15.75" customHeight="1" x14ac:dyDescent="0.3">
      <c r="K687" s="79"/>
      <c r="L687" s="79"/>
      <c r="M687" s="3"/>
      <c r="N687" s="3"/>
      <c r="O687" s="3"/>
      <c r="P687" s="3"/>
      <c r="Q687" s="6"/>
      <c r="R687" s="3"/>
      <c r="S687" s="3"/>
      <c r="T687" s="3"/>
      <c r="U687" s="3"/>
      <c r="V687" s="3"/>
      <c r="W687" s="3"/>
      <c r="X687" s="3"/>
      <c r="Y687" s="3"/>
      <c r="Z687" s="3"/>
    </row>
    <row r="688" spans="11:26" ht="15.75" customHeight="1" x14ac:dyDescent="0.3">
      <c r="K688" s="79"/>
      <c r="L688" s="79"/>
      <c r="M688" s="3"/>
      <c r="N688" s="3"/>
      <c r="O688" s="3"/>
      <c r="P688" s="3"/>
      <c r="Q688" s="6"/>
      <c r="R688" s="3"/>
      <c r="S688" s="3"/>
      <c r="T688" s="3"/>
      <c r="U688" s="3"/>
      <c r="V688" s="3"/>
      <c r="W688" s="3"/>
      <c r="X688" s="3"/>
      <c r="Y688" s="3"/>
      <c r="Z688" s="3"/>
    </row>
    <row r="689" spans="11:26" ht="15.75" customHeight="1" x14ac:dyDescent="0.3">
      <c r="K689" s="79"/>
      <c r="L689" s="79"/>
      <c r="M689" s="3"/>
      <c r="N689" s="3"/>
      <c r="O689" s="3"/>
      <c r="P689" s="3"/>
      <c r="Q689" s="6"/>
      <c r="R689" s="3"/>
      <c r="S689" s="3"/>
      <c r="T689" s="3"/>
      <c r="U689" s="3"/>
      <c r="V689" s="3"/>
      <c r="W689" s="3"/>
      <c r="X689" s="3"/>
      <c r="Y689" s="3"/>
      <c r="Z689" s="3"/>
    </row>
    <row r="690" spans="11:26" ht="15.75" customHeight="1" x14ac:dyDescent="0.3">
      <c r="K690" s="79"/>
      <c r="L690" s="79"/>
      <c r="M690" s="3"/>
      <c r="N690" s="3"/>
      <c r="O690" s="3"/>
      <c r="P690" s="3"/>
      <c r="Q690" s="6"/>
      <c r="R690" s="3"/>
      <c r="S690" s="3"/>
      <c r="T690" s="3"/>
      <c r="U690" s="3"/>
      <c r="V690" s="3"/>
      <c r="W690" s="3"/>
      <c r="X690" s="3"/>
      <c r="Y690" s="3"/>
      <c r="Z690" s="3"/>
    </row>
    <row r="691" spans="11:26" ht="15.75" customHeight="1" x14ac:dyDescent="0.3">
      <c r="K691" s="79"/>
      <c r="L691" s="79"/>
      <c r="M691" s="3"/>
      <c r="N691" s="3"/>
      <c r="O691" s="3"/>
      <c r="P691" s="3"/>
      <c r="Q691" s="6"/>
      <c r="R691" s="3"/>
      <c r="S691" s="3"/>
      <c r="T691" s="3"/>
      <c r="U691" s="3"/>
      <c r="V691" s="3"/>
      <c r="W691" s="3"/>
      <c r="X691" s="3"/>
      <c r="Y691" s="3"/>
      <c r="Z691" s="3"/>
    </row>
    <row r="692" spans="11:26" ht="15.75" customHeight="1" x14ac:dyDescent="0.3">
      <c r="K692" s="79"/>
      <c r="L692" s="79"/>
      <c r="M692" s="3"/>
      <c r="N692" s="3"/>
      <c r="O692" s="3"/>
      <c r="P692" s="3"/>
      <c r="Q692" s="6"/>
      <c r="R692" s="3"/>
      <c r="S692" s="3"/>
      <c r="T692" s="3"/>
      <c r="U692" s="3"/>
      <c r="V692" s="3"/>
      <c r="W692" s="3"/>
      <c r="X692" s="3"/>
      <c r="Y692" s="3"/>
      <c r="Z692" s="3"/>
    </row>
    <row r="693" spans="11:26" ht="15.75" customHeight="1" x14ac:dyDescent="0.3">
      <c r="K693" s="79"/>
      <c r="L693" s="79"/>
      <c r="M693" s="3"/>
      <c r="N693" s="3"/>
      <c r="O693" s="3"/>
      <c r="P693" s="3"/>
      <c r="Q693" s="6"/>
      <c r="R693" s="3"/>
      <c r="S693" s="3"/>
      <c r="T693" s="3"/>
      <c r="U693" s="3"/>
      <c r="V693" s="3"/>
      <c r="W693" s="3"/>
      <c r="X693" s="3"/>
      <c r="Y693" s="3"/>
      <c r="Z693" s="3"/>
    </row>
    <row r="694" spans="11:26" ht="15.75" customHeight="1" x14ac:dyDescent="0.3">
      <c r="K694" s="79"/>
      <c r="L694" s="79"/>
      <c r="M694" s="3"/>
      <c r="N694" s="3"/>
      <c r="O694" s="3"/>
      <c r="P694" s="3"/>
      <c r="Q694" s="6"/>
      <c r="R694" s="3"/>
      <c r="S694" s="3"/>
      <c r="T694" s="3"/>
      <c r="U694" s="3"/>
      <c r="V694" s="3"/>
      <c r="W694" s="3"/>
      <c r="X694" s="3"/>
      <c r="Y694" s="3"/>
      <c r="Z694" s="3"/>
    </row>
    <row r="695" spans="11:26" ht="15.75" customHeight="1" x14ac:dyDescent="0.3">
      <c r="K695" s="79"/>
      <c r="L695" s="79"/>
      <c r="M695" s="3"/>
      <c r="N695" s="3"/>
      <c r="O695" s="3"/>
      <c r="P695" s="3"/>
      <c r="Q695" s="6"/>
      <c r="R695" s="3"/>
      <c r="S695" s="3"/>
      <c r="T695" s="3"/>
      <c r="U695" s="3"/>
      <c r="V695" s="3"/>
      <c r="W695" s="3"/>
      <c r="X695" s="3"/>
      <c r="Y695" s="3"/>
      <c r="Z695" s="3"/>
    </row>
    <row r="696" spans="11:26" ht="15.75" customHeight="1" x14ac:dyDescent="0.3">
      <c r="K696" s="79"/>
      <c r="L696" s="79"/>
      <c r="M696" s="3"/>
      <c r="N696" s="3"/>
      <c r="O696" s="3"/>
      <c r="P696" s="3"/>
      <c r="Q696" s="6"/>
      <c r="R696" s="3"/>
      <c r="S696" s="3"/>
      <c r="T696" s="3"/>
      <c r="U696" s="3"/>
      <c r="V696" s="3"/>
      <c r="W696" s="3"/>
      <c r="X696" s="3"/>
      <c r="Y696" s="3"/>
      <c r="Z696" s="3"/>
    </row>
    <row r="697" spans="11:26" ht="15.75" customHeight="1" x14ac:dyDescent="0.3">
      <c r="K697" s="79"/>
      <c r="L697" s="79"/>
      <c r="M697" s="3"/>
      <c r="N697" s="3"/>
      <c r="O697" s="3"/>
      <c r="P697" s="3"/>
      <c r="Q697" s="6"/>
      <c r="R697" s="3"/>
      <c r="S697" s="3"/>
      <c r="T697" s="3"/>
      <c r="U697" s="3"/>
      <c r="V697" s="3"/>
      <c r="W697" s="3"/>
      <c r="X697" s="3"/>
      <c r="Y697" s="3"/>
      <c r="Z697" s="3"/>
    </row>
    <row r="698" spans="11:26" ht="15.75" customHeight="1" x14ac:dyDescent="0.3">
      <c r="K698" s="79"/>
      <c r="L698" s="79"/>
      <c r="M698" s="3"/>
      <c r="N698" s="3"/>
      <c r="O698" s="3"/>
      <c r="P698" s="3"/>
      <c r="Q698" s="6"/>
      <c r="R698" s="3"/>
      <c r="S698" s="3"/>
      <c r="T698" s="3"/>
      <c r="U698" s="3"/>
      <c r="V698" s="3"/>
      <c r="W698" s="3"/>
      <c r="X698" s="3"/>
      <c r="Y698" s="3"/>
      <c r="Z698" s="3"/>
    </row>
    <row r="699" spans="11:26" ht="15.75" customHeight="1" x14ac:dyDescent="0.3">
      <c r="K699" s="79"/>
      <c r="L699" s="79"/>
      <c r="M699" s="3"/>
      <c r="N699" s="3"/>
      <c r="O699" s="3"/>
      <c r="P699" s="3"/>
      <c r="Q699" s="6"/>
      <c r="R699" s="3"/>
      <c r="S699" s="3"/>
      <c r="T699" s="3"/>
      <c r="U699" s="3"/>
      <c r="V699" s="3"/>
      <c r="W699" s="3"/>
      <c r="X699" s="3"/>
      <c r="Y699" s="3"/>
      <c r="Z699" s="3"/>
    </row>
    <row r="700" spans="11:26" ht="15.75" customHeight="1" x14ac:dyDescent="0.3">
      <c r="K700" s="79"/>
      <c r="L700" s="79"/>
      <c r="M700" s="3"/>
      <c r="N700" s="3"/>
      <c r="O700" s="3"/>
      <c r="P700" s="3"/>
      <c r="Q700" s="6"/>
      <c r="R700" s="3"/>
      <c r="S700" s="3"/>
      <c r="T700" s="3"/>
      <c r="U700" s="3"/>
      <c r="V700" s="3"/>
      <c r="W700" s="3"/>
      <c r="X700" s="3"/>
      <c r="Y700" s="3"/>
      <c r="Z700" s="3"/>
    </row>
    <row r="701" spans="11:26" ht="15.75" customHeight="1" x14ac:dyDescent="0.3">
      <c r="K701" s="79"/>
      <c r="L701" s="79"/>
      <c r="M701" s="3"/>
      <c r="N701" s="3"/>
      <c r="O701" s="3"/>
      <c r="P701" s="3"/>
      <c r="Q701" s="6"/>
      <c r="R701" s="3"/>
      <c r="S701" s="3"/>
      <c r="T701" s="3"/>
      <c r="U701" s="3"/>
      <c r="V701" s="3"/>
      <c r="W701" s="3"/>
      <c r="X701" s="3"/>
      <c r="Y701" s="3"/>
      <c r="Z701" s="3"/>
    </row>
    <row r="702" spans="11:26" ht="15.75" customHeight="1" x14ac:dyDescent="0.3">
      <c r="K702" s="79"/>
      <c r="L702" s="79"/>
      <c r="M702" s="3"/>
      <c r="N702" s="3"/>
      <c r="O702" s="3"/>
      <c r="P702" s="3"/>
      <c r="Q702" s="6"/>
      <c r="R702" s="3"/>
      <c r="S702" s="3"/>
      <c r="T702" s="3"/>
      <c r="U702" s="3"/>
      <c r="V702" s="3"/>
      <c r="W702" s="3"/>
      <c r="X702" s="3"/>
      <c r="Y702" s="3"/>
      <c r="Z702" s="3"/>
    </row>
    <row r="703" spans="11:26" ht="15.75" customHeight="1" x14ac:dyDescent="0.3">
      <c r="K703" s="79"/>
      <c r="L703" s="79"/>
      <c r="M703" s="3"/>
      <c r="N703" s="3"/>
      <c r="O703" s="3"/>
      <c r="P703" s="3"/>
      <c r="Q703" s="6"/>
      <c r="R703" s="3"/>
      <c r="S703" s="3"/>
      <c r="T703" s="3"/>
      <c r="U703" s="3"/>
      <c r="V703" s="3"/>
      <c r="W703" s="3"/>
      <c r="X703" s="3"/>
      <c r="Y703" s="3"/>
      <c r="Z703" s="3"/>
    </row>
    <row r="704" spans="11:26" ht="15.75" customHeight="1" x14ac:dyDescent="0.3">
      <c r="K704" s="79"/>
      <c r="L704" s="79"/>
      <c r="M704" s="3"/>
      <c r="N704" s="3"/>
      <c r="O704" s="3"/>
      <c r="P704" s="3"/>
      <c r="Q704" s="6"/>
      <c r="R704" s="3"/>
      <c r="S704" s="3"/>
      <c r="T704" s="3"/>
      <c r="U704" s="3"/>
      <c r="V704" s="3"/>
      <c r="W704" s="3"/>
      <c r="X704" s="3"/>
      <c r="Y704" s="3"/>
      <c r="Z704" s="3"/>
    </row>
    <row r="705" spans="11:26" ht="15.75" customHeight="1" x14ac:dyDescent="0.3">
      <c r="K705" s="79"/>
      <c r="L705" s="79"/>
      <c r="M705" s="3"/>
      <c r="N705" s="3"/>
      <c r="O705" s="3"/>
      <c r="P705" s="3"/>
      <c r="Q705" s="6"/>
      <c r="R705" s="3"/>
      <c r="S705" s="3"/>
      <c r="T705" s="3"/>
      <c r="U705" s="3"/>
      <c r="V705" s="3"/>
      <c r="W705" s="3"/>
      <c r="X705" s="3"/>
      <c r="Y705" s="3"/>
      <c r="Z705" s="3"/>
    </row>
    <row r="706" spans="11:26" ht="15.75" customHeight="1" x14ac:dyDescent="0.3">
      <c r="K706" s="79"/>
      <c r="L706" s="79"/>
      <c r="M706" s="3"/>
      <c r="N706" s="3"/>
      <c r="O706" s="3"/>
      <c r="P706" s="3"/>
      <c r="Q706" s="6"/>
      <c r="R706" s="3"/>
      <c r="S706" s="3"/>
      <c r="T706" s="3"/>
      <c r="U706" s="3"/>
      <c r="V706" s="3"/>
      <c r="W706" s="3"/>
      <c r="X706" s="3"/>
      <c r="Y706" s="3"/>
      <c r="Z706" s="3"/>
    </row>
    <row r="707" spans="11:26" ht="15.75" customHeight="1" x14ac:dyDescent="0.3">
      <c r="K707" s="79"/>
      <c r="L707" s="79"/>
      <c r="M707" s="3"/>
      <c r="N707" s="3"/>
      <c r="O707" s="3"/>
      <c r="P707" s="3"/>
      <c r="Q707" s="6"/>
      <c r="R707" s="3"/>
      <c r="S707" s="3"/>
      <c r="T707" s="3"/>
      <c r="U707" s="3"/>
      <c r="V707" s="3"/>
      <c r="W707" s="3"/>
      <c r="X707" s="3"/>
      <c r="Y707" s="3"/>
      <c r="Z707" s="3"/>
    </row>
    <row r="708" spans="11:26" ht="15.75" customHeight="1" x14ac:dyDescent="0.3">
      <c r="K708" s="79"/>
      <c r="L708" s="79"/>
      <c r="M708" s="3"/>
      <c r="N708" s="3"/>
      <c r="O708" s="3"/>
      <c r="P708" s="3"/>
      <c r="Q708" s="6"/>
      <c r="R708" s="3"/>
      <c r="S708" s="3"/>
      <c r="T708" s="3"/>
      <c r="U708" s="3"/>
      <c r="V708" s="3"/>
      <c r="W708" s="3"/>
      <c r="X708" s="3"/>
      <c r="Y708" s="3"/>
      <c r="Z708" s="3"/>
    </row>
    <row r="709" spans="11:26" ht="15.75" customHeight="1" x14ac:dyDescent="0.3">
      <c r="K709" s="79"/>
      <c r="L709" s="79"/>
      <c r="M709" s="3"/>
      <c r="N709" s="3"/>
      <c r="O709" s="3"/>
      <c r="P709" s="3"/>
      <c r="Q709" s="6"/>
      <c r="R709" s="3"/>
      <c r="S709" s="3"/>
      <c r="T709" s="3"/>
      <c r="U709" s="3"/>
      <c r="V709" s="3"/>
      <c r="W709" s="3"/>
      <c r="X709" s="3"/>
      <c r="Y709" s="3"/>
      <c r="Z709" s="3"/>
    </row>
    <row r="710" spans="11:26" ht="15.75" customHeight="1" x14ac:dyDescent="0.3">
      <c r="K710" s="79"/>
      <c r="L710" s="79"/>
      <c r="M710" s="3"/>
      <c r="N710" s="3"/>
      <c r="O710" s="3"/>
      <c r="P710" s="3"/>
      <c r="Q710" s="6"/>
      <c r="R710" s="3"/>
      <c r="S710" s="3"/>
      <c r="T710" s="3"/>
      <c r="U710" s="3"/>
      <c r="V710" s="3"/>
      <c r="W710" s="3"/>
      <c r="X710" s="3"/>
      <c r="Y710" s="3"/>
      <c r="Z710" s="3"/>
    </row>
    <row r="711" spans="11:26" ht="15.75" customHeight="1" x14ac:dyDescent="0.3">
      <c r="K711" s="79"/>
      <c r="L711" s="79"/>
      <c r="M711" s="3"/>
      <c r="N711" s="3"/>
      <c r="O711" s="3"/>
      <c r="P711" s="3"/>
      <c r="Q711" s="6"/>
      <c r="R711" s="3"/>
      <c r="S711" s="3"/>
      <c r="T711" s="3"/>
      <c r="U711" s="3"/>
      <c r="V711" s="3"/>
      <c r="W711" s="3"/>
      <c r="X711" s="3"/>
      <c r="Y711" s="3"/>
      <c r="Z711" s="3"/>
    </row>
    <row r="712" spans="11:26" ht="15.75" customHeight="1" x14ac:dyDescent="0.3">
      <c r="K712" s="79"/>
      <c r="L712" s="79"/>
      <c r="M712" s="3"/>
      <c r="N712" s="3"/>
      <c r="O712" s="3"/>
      <c r="P712" s="3"/>
      <c r="Q712" s="6"/>
      <c r="R712" s="3"/>
      <c r="S712" s="3"/>
      <c r="T712" s="3"/>
      <c r="U712" s="3"/>
      <c r="V712" s="3"/>
      <c r="W712" s="3"/>
      <c r="X712" s="3"/>
      <c r="Y712" s="3"/>
      <c r="Z712" s="3"/>
    </row>
    <row r="713" spans="11:26" ht="15.75" customHeight="1" x14ac:dyDescent="0.3">
      <c r="K713" s="79"/>
      <c r="L713" s="79"/>
      <c r="M713" s="3"/>
      <c r="N713" s="3"/>
      <c r="O713" s="3"/>
      <c r="P713" s="3"/>
      <c r="Q713" s="6"/>
      <c r="R713" s="3"/>
      <c r="S713" s="3"/>
      <c r="T713" s="3"/>
      <c r="U713" s="3"/>
      <c r="V713" s="3"/>
      <c r="W713" s="3"/>
      <c r="X713" s="3"/>
      <c r="Y713" s="3"/>
      <c r="Z713" s="3"/>
    </row>
    <row r="714" spans="11:26" ht="15.75" customHeight="1" x14ac:dyDescent="0.3">
      <c r="K714" s="79"/>
      <c r="L714" s="79"/>
      <c r="M714" s="3"/>
      <c r="N714" s="3"/>
      <c r="O714" s="3"/>
      <c r="P714" s="3"/>
      <c r="Q714" s="6"/>
      <c r="R714" s="3"/>
      <c r="S714" s="3"/>
      <c r="T714" s="3"/>
      <c r="U714" s="3"/>
      <c r="V714" s="3"/>
      <c r="W714" s="3"/>
      <c r="X714" s="3"/>
      <c r="Y714" s="3"/>
      <c r="Z714" s="3"/>
    </row>
    <row r="715" spans="11:26" ht="15.75" customHeight="1" x14ac:dyDescent="0.3">
      <c r="K715" s="79"/>
      <c r="L715" s="79"/>
      <c r="M715" s="3"/>
      <c r="N715" s="3"/>
      <c r="O715" s="3"/>
      <c r="P715" s="3"/>
      <c r="Q715" s="6"/>
      <c r="R715" s="3"/>
      <c r="S715" s="3"/>
      <c r="T715" s="3"/>
      <c r="U715" s="3"/>
      <c r="V715" s="3"/>
      <c r="W715" s="3"/>
      <c r="X715" s="3"/>
      <c r="Y715" s="3"/>
      <c r="Z715" s="3"/>
    </row>
    <row r="716" spans="11:26" ht="15.75" customHeight="1" x14ac:dyDescent="0.3">
      <c r="K716" s="79"/>
      <c r="L716" s="79"/>
      <c r="M716" s="3"/>
      <c r="N716" s="3"/>
      <c r="O716" s="3"/>
      <c r="P716" s="3"/>
      <c r="Q716" s="6"/>
      <c r="R716" s="3"/>
      <c r="S716" s="3"/>
      <c r="T716" s="3"/>
      <c r="U716" s="3"/>
      <c r="V716" s="3"/>
      <c r="W716" s="3"/>
      <c r="X716" s="3"/>
      <c r="Y716" s="3"/>
      <c r="Z716" s="3"/>
    </row>
    <row r="717" spans="11:26" ht="15.75" customHeight="1" x14ac:dyDescent="0.3">
      <c r="K717" s="79"/>
      <c r="L717" s="79"/>
      <c r="M717" s="3"/>
      <c r="N717" s="3"/>
      <c r="O717" s="3"/>
      <c r="P717" s="3"/>
      <c r="Q717" s="6"/>
      <c r="R717" s="3"/>
      <c r="S717" s="3"/>
      <c r="T717" s="3"/>
      <c r="U717" s="3"/>
      <c r="V717" s="3"/>
      <c r="W717" s="3"/>
      <c r="X717" s="3"/>
      <c r="Y717" s="3"/>
      <c r="Z717" s="3"/>
    </row>
    <row r="718" spans="11:26" ht="15.75" customHeight="1" x14ac:dyDescent="0.3">
      <c r="K718" s="79"/>
      <c r="L718" s="79"/>
      <c r="M718" s="3"/>
      <c r="N718" s="3"/>
      <c r="O718" s="3"/>
      <c r="P718" s="3"/>
      <c r="Q718" s="6"/>
      <c r="R718" s="3"/>
      <c r="S718" s="3"/>
      <c r="T718" s="3"/>
      <c r="U718" s="3"/>
      <c r="V718" s="3"/>
      <c r="W718" s="3"/>
      <c r="X718" s="3"/>
      <c r="Y718" s="3"/>
      <c r="Z718" s="3"/>
    </row>
    <row r="719" spans="11:26" ht="15.75" customHeight="1" x14ac:dyDescent="0.3">
      <c r="K719" s="79"/>
      <c r="L719" s="79"/>
      <c r="M719" s="3"/>
      <c r="N719" s="3"/>
      <c r="O719" s="3"/>
      <c r="P719" s="3"/>
      <c r="Q719" s="6"/>
      <c r="R719" s="3"/>
      <c r="S719" s="3"/>
      <c r="T719" s="3"/>
      <c r="U719" s="3"/>
      <c r="V719" s="3"/>
      <c r="W719" s="3"/>
      <c r="X719" s="3"/>
      <c r="Y719" s="3"/>
      <c r="Z719" s="3"/>
    </row>
    <row r="720" spans="11:26" ht="15.75" customHeight="1" x14ac:dyDescent="0.3">
      <c r="K720" s="79"/>
      <c r="L720" s="79"/>
      <c r="M720" s="3"/>
      <c r="N720" s="3"/>
      <c r="O720" s="3"/>
      <c r="P720" s="3"/>
      <c r="Q720" s="6"/>
      <c r="R720" s="3"/>
      <c r="S720" s="3"/>
      <c r="T720" s="3"/>
      <c r="U720" s="3"/>
      <c r="V720" s="3"/>
      <c r="W720" s="3"/>
      <c r="X720" s="3"/>
      <c r="Y720" s="3"/>
      <c r="Z720" s="3"/>
    </row>
    <row r="721" spans="11:26" ht="15.75" customHeight="1" x14ac:dyDescent="0.3">
      <c r="K721" s="79"/>
      <c r="L721" s="79"/>
      <c r="M721" s="3"/>
      <c r="N721" s="3"/>
      <c r="O721" s="3"/>
      <c r="P721" s="3"/>
      <c r="Q721" s="6"/>
      <c r="R721" s="3"/>
      <c r="S721" s="3"/>
      <c r="T721" s="3"/>
      <c r="U721" s="3"/>
      <c r="V721" s="3"/>
      <c r="W721" s="3"/>
      <c r="X721" s="3"/>
      <c r="Y721" s="3"/>
      <c r="Z721" s="3"/>
    </row>
    <row r="722" spans="11:26" ht="15.75" customHeight="1" x14ac:dyDescent="0.3">
      <c r="K722" s="79"/>
      <c r="L722" s="79"/>
      <c r="M722" s="3"/>
      <c r="N722" s="3"/>
      <c r="O722" s="3"/>
      <c r="P722" s="3"/>
      <c r="Q722" s="6"/>
      <c r="R722" s="3"/>
      <c r="S722" s="3"/>
      <c r="T722" s="3"/>
      <c r="U722" s="3"/>
      <c r="V722" s="3"/>
      <c r="W722" s="3"/>
      <c r="X722" s="3"/>
      <c r="Y722" s="3"/>
      <c r="Z722" s="3"/>
    </row>
    <row r="723" spans="11:26" ht="15.75" customHeight="1" x14ac:dyDescent="0.3">
      <c r="K723" s="79"/>
      <c r="L723" s="79"/>
      <c r="M723" s="3"/>
      <c r="N723" s="3"/>
      <c r="O723" s="3"/>
      <c r="P723" s="3"/>
      <c r="Q723" s="6"/>
      <c r="R723" s="3"/>
      <c r="S723" s="3"/>
      <c r="T723" s="3"/>
      <c r="U723" s="3"/>
      <c r="V723" s="3"/>
      <c r="W723" s="3"/>
      <c r="X723" s="3"/>
      <c r="Y723" s="3"/>
      <c r="Z723" s="3"/>
    </row>
    <row r="724" spans="11:26" ht="15.75" customHeight="1" x14ac:dyDescent="0.3">
      <c r="K724" s="79"/>
      <c r="L724" s="79"/>
      <c r="M724" s="3"/>
      <c r="N724" s="3"/>
      <c r="O724" s="3"/>
      <c r="P724" s="3"/>
      <c r="Q724" s="6"/>
      <c r="R724" s="3"/>
      <c r="S724" s="3"/>
      <c r="T724" s="3"/>
      <c r="U724" s="3"/>
      <c r="V724" s="3"/>
      <c r="W724" s="3"/>
      <c r="X724" s="3"/>
      <c r="Y724" s="3"/>
      <c r="Z724" s="3"/>
    </row>
    <row r="725" spans="11:26" ht="15.75" customHeight="1" x14ac:dyDescent="0.3">
      <c r="K725" s="79"/>
      <c r="L725" s="79"/>
      <c r="M725" s="3"/>
      <c r="N725" s="3"/>
      <c r="O725" s="3"/>
      <c r="P725" s="3"/>
      <c r="Q725" s="6"/>
      <c r="R725" s="3"/>
      <c r="S725" s="3"/>
      <c r="T725" s="3"/>
      <c r="U725" s="3"/>
      <c r="V725" s="3"/>
      <c r="W725" s="3"/>
      <c r="X725" s="3"/>
      <c r="Y725" s="3"/>
      <c r="Z725" s="3"/>
    </row>
    <row r="726" spans="11:26" ht="15.75" customHeight="1" x14ac:dyDescent="0.3">
      <c r="K726" s="79"/>
      <c r="L726" s="79"/>
      <c r="M726" s="3"/>
      <c r="N726" s="3"/>
      <c r="O726" s="3"/>
      <c r="P726" s="3"/>
      <c r="Q726" s="6"/>
      <c r="R726" s="3"/>
      <c r="S726" s="3"/>
      <c r="T726" s="3"/>
      <c r="U726" s="3"/>
      <c r="V726" s="3"/>
      <c r="W726" s="3"/>
      <c r="X726" s="3"/>
      <c r="Y726" s="3"/>
      <c r="Z726" s="3"/>
    </row>
    <row r="727" spans="11:26" ht="15.75" customHeight="1" x14ac:dyDescent="0.3">
      <c r="K727" s="79"/>
      <c r="L727" s="79"/>
      <c r="M727" s="3"/>
      <c r="N727" s="3"/>
      <c r="O727" s="3"/>
      <c r="P727" s="3"/>
      <c r="Q727" s="6"/>
      <c r="R727" s="3"/>
      <c r="S727" s="3"/>
      <c r="T727" s="3"/>
      <c r="U727" s="3"/>
      <c r="V727" s="3"/>
      <c r="W727" s="3"/>
      <c r="X727" s="3"/>
      <c r="Y727" s="3"/>
      <c r="Z727" s="3"/>
    </row>
    <row r="728" spans="11:26" ht="15.75" customHeight="1" x14ac:dyDescent="0.3">
      <c r="K728" s="79"/>
      <c r="L728" s="79"/>
      <c r="M728" s="3"/>
      <c r="N728" s="3"/>
      <c r="O728" s="3"/>
      <c r="P728" s="3"/>
      <c r="Q728" s="6"/>
      <c r="R728" s="3"/>
      <c r="S728" s="3"/>
      <c r="T728" s="3"/>
      <c r="U728" s="3"/>
      <c r="V728" s="3"/>
      <c r="W728" s="3"/>
      <c r="X728" s="3"/>
      <c r="Y728" s="3"/>
      <c r="Z728" s="3"/>
    </row>
    <row r="729" spans="11:26" ht="15.75" customHeight="1" x14ac:dyDescent="0.3">
      <c r="K729" s="79"/>
      <c r="L729" s="79"/>
      <c r="M729" s="3"/>
      <c r="N729" s="3"/>
      <c r="O729" s="3"/>
      <c r="P729" s="3"/>
      <c r="Q729" s="6"/>
      <c r="R729" s="3"/>
      <c r="S729" s="3"/>
      <c r="T729" s="3"/>
      <c r="U729" s="3"/>
      <c r="V729" s="3"/>
      <c r="W729" s="3"/>
      <c r="X729" s="3"/>
      <c r="Y729" s="3"/>
      <c r="Z729" s="3"/>
    </row>
    <row r="730" spans="11:26" ht="15.75" customHeight="1" x14ac:dyDescent="0.3">
      <c r="K730" s="79"/>
      <c r="L730" s="79"/>
      <c r="M730" s="3"/>
      <c r="N730" s="3"/>
      <c r="O730" s="3"/>
      <c r="P730" s="3"/>
      <c r="Q730" s="6"/>
      <c r="R730" s="3"/>
      <c r="S730" s="3"/>
      <c r="T730" s="3"/>
      <c r="U730" s="3"/>
      <c r="V730" s="3"/>
      <c r="W730" s="3"/>
      <c r="X730" s="3"/>
      <c r="Y730" s="3"/>
      <c r="Z730" s="3"/>
    </row>
    <row r="731" spans="11:26" ht="15.75" customHeight="1" x14ac:dyDescent="0.3">
      <c r="K731" s="79"/>
      <c r="L731" s="79"/>
      <c r="M731" s="3"/>
      <c r="N731" s="3"/>
      <c r="O731" s="3"/>
      <c r="P731" s="3"/>
      <c r="Q731" s="6"/>
      <c r="R731" s="3"/>
      <c r="S731" s="3"/>
      <c r="T731" s="3"/>
      <c r="U731" s="3"/>
      <c r="V731" s="3"/>
      <c r="W731" s="3"/>
      <c r="X731" s="3"/>
      <c r="Y731" s="3"/>
      <c r="Z731" s="3"/>
    </row>
    <row r="732" spans="11:26" ht="15.75" customHeight="1" x14ac:dyDescent="0.3">
      <c r="K732" s="79"/>
      <c r="L732" s="79"/>
      <c r="M732" s="3"/>
      <c r="N732" s="3"/>
      <c r="O732" s="3"/>
      <c r="P732" s="3"/>
      <c r="Q732" s="6"/>
      <c r="R732" s="3"/>
      <c r="S732" s="3"/>
      <c r="T732" s="3"/>
      <c r="U732" s="3"/>
      <c r="V732" s="3"/>
      <c r="W732" s="3"/>
      <c r="X732" s="3"/>
      <c r="Y732" s="3"/>
      <c r="Z732" s="3"/>
    </row>
    <row r="733" spans="11:26" ht="15.75" customHeight="1" x14ac:dyDescent="0.3">
      <c r="K733" s="79"/>
      <c r="L733" s="79"/>
      <c r="M733" s="3"/>
      <c r="N733" s="3"/>
      <c r="O733" s="3"/>
      <c r="P733" s="3"/>
      <c r="Q733" s="6"/>
      <c r="R733" s="3"/>
      <c r="S733" s="3"/>
      <c r="T733" s="3"/>
      <c r="U733" s="3"/>
      <c r="V733" s="3"/>
      <c r="W733" s="3"/>
      <c r="X733" s="3"/>
      <c r="Y733" s="3"/>
      <c r="Z733" s="3"/>
    </row>
    <row r="734" spans="11:26" ht="15.75" customHeight="1" x14ac:dyDescent="0.3">
      <c r="K734" s="79"/>
      <c r="L734" s="79"/>
      <c r="M734" s="3"/>
      <c r="N734" s="3"/>
      <c r="O734" s="3"/>
      <c r="P734" s="3"/>
      <c r="Q734" s="6"/>
      <c r="R734" s="3"/>
      <c r="S734" s="3"/>
      <c r="T734" s="3"/>
      <c r="U734" s="3"/>
      <c r="V734" s="3"/>
      <c r="W734" s="3"/>
      <c r="X734" s="3"/>
      <c r="Y734" s="3"/>
      <c r="Z734" s="3"/>
    </row>
    <row r="735" spans="11:26" ht="15.75" customHeight="1" x14ac:dyDescent="0.3">
      <c r="K735" s="79"/>
      <c r="L735" s="79"/>
      <c r="M735" s="3"/>
      <c r="N735" s="3"/>
      <c r="O735" s="3"/>
      <c r="P735" s="3"/>
      <c r="Q735" s="6"/>
      <c r="R735" s="3"/>
      <c r="S735" s="3"/>
      <c r="T735" s="3"/>
      <c r="U735" s="3"/>
      <c r="V735" s="3"/>
      <c r="W735" s="3"/>
      <c r="X735" s="3"/>
      <c r="Y735" s="3"/>
      <c r="Z735" s="3"/>
    </row>
    <row r="736" spans="11:26" ht="15.75" customHeight="1" x14ac:dyDescent="0.3">
      <c r="K736" s="79"/>
      <c r="L736" s="79"/>
      <c r="M736" s="3"/>
      <c r="N736" s="3"/>
      <c r="O736" s="3"/>
      <c r="P736" s="3"/>
      <c r="Q736" s="6"/>
      <c r="R736" s="3"/>
      <c r="S736" s="3"/>
      <c r="T736" s="3"/>
      <c r="U736" s="3"/>
      <c r="V736" s="3"/>
      <c r="W736" s="3"/>
      <c r="X736" s="3"/>
      <c r="Y736" s="3"/>
      <c r="Z736" s="3"/>
    </row>
    <row r="737" spans="11:26" ht="15.75" customHeight="1" x14ac:dyDescent="0.3">
      <c r="K737" s="79"/>
      <c r="L737" s="79"/>
      <c r="M737" s="3"/>
      <c r="N737" s="3"/>
      <c r="O737" s="3"/>
      <c r="P737" s="3"/>
      <c r="Q737" s="6"/>
      <c r="R737" s="3"/>
      <c r="S737" s="3"/>
      <c r="T737" s="3"/>
      <c r="U737" s="3"/>
      <c r="V737" s="3"/>
      <c r="W737" s="3"/>
      <c r="X737" s="3"/>
      <c r="Y737" s="3"/>
      <c r="Z737" s="3"/>
    </row>
    <row r="738" spans="11:26" ht="15.75" customHeight="1" x14ac:dyDescent="0.3">
      <c r="K738" s="79"/>
      <c r="L738" s="79"/>
      <c r="M738" s="3"/>
      <c r="N738" s="3"/>
      <c r="O738" s="3"/>
      <c r="P738" s="3"/>
      <c r="Q738" s="6"/>
      <c r="R738" s="3"/>
      <c r="S738" s="3"/>
      <c r="T738" s="3"/>
      <c r="U738" s="3"/>
      <c r="V738" s="3"/>
      <c r="W738" s="3"/>
      <c r="X738" s="3"/>
      <c r="Y738" s="3"/>
      <c r="Z738" s="3"/>
    </row>
    <row r="739" spans="11:26" ht="15.75" customHeight="1" x14ac:dyDescent="0.3">
      <c r="K739" s="79"/>
      <c r="L739" s="79"/>
      <c r="M739" s="3"/>
      <c r="N739" s="3"/>
      <c r="O739" s="3"/>
      <c r="P739" s="3"/>
      <c r="Q739" s="6"/>
      <c r="R739" s="3"/>
      <c r="S739" s="3"/>
      <c r="T739" s="3"/>
      <c r="U739" s="3"/>
      <c r="V739" s="3"/>
      <c r="W739" s="3"/>
      <c r="X739" s="3"/>
      <c r="Y739" s="3"/>
      <c r="Z739" s="3"/>
    </row>
    <row r="740" spans="11:26" ht="15.75" customHeight="1" x14ac:dyDescent="0.3">
      <c r="K740" s="79"/>
      <c r="L740" s="79"/>
      <c r="M740" s="3"/>
      <c r="N740" s="3"/>
      <c r="O740" s="3"/>
      <c r="P740" s="3"/>
      <c r="Q740" s="6"/>
      <c r="R740" s="3"/>
      <c r="S740" s="3"/>
      <c r="T740" s="3"/>
      <c r="U740" s="3"/>
      <c r="V740" s="3"/>
      <c r="W740" s="3"/>
      <c r="X740" s="3"/>
      <c r="Y740" s="3"/>
      <c r="Z740" s="3"/>
    </row>
    <row r="741" spans="11:26" ht="15.75" customHeight="1" x14ac:dyDescent="0.3">
      <c r="K741" s="79"/>
      <c r="L741" s="79"/>
      <c r="M741" s="3"/>
      <c r="N741" s="3"/>
      <c r="O741" s="3"/>
      <c r="P741" s="3"/>
      <c r="Q741" s="6"/>
      <c r="R741" s="3"/>
      <c r="S741" s="3"/>
      <c r="T741" s="3"/>
      <c r="U741" s="3"/>
      <c r="V741" s="3"/>
      <c r="W741" s="3"/>
      <c r="X741" s="3"/>
      <c r="Y741" s="3"/>
      <c r="Z741" s="3"/>
    </row>
    <row r="742" spans="11:26" ht="15.75" customHeight="1" x14ac:dyDescent="0.3">
      <c r="K742" s="79"/>
      <c r="L742" s="79"/>
      <c r="M742" s="3"/>
      <c r="N742" s="3"/>
      <c r="O742" s="3"/>
      <c r="P742" s="3"/>
      <c r="Q742" s="6"/>
      <c r="R742" s="3"/>
      <c r="S742" s="3"/>
      <c r="T742" s="3"/>
      <c r="U742" s="3"/>
      <c r="V742" s="3"/>
      <c r="W742" s="3"/>
      <c r="X742" s="3"/>
      <c r="Y742" s="3"/>
      <c r="Z742" s="3"/>
    </row>
    <row r="743" spans="11:26" ht="15.75" customHeight="1" x14ac:dyDescent="0.3">
      <c r="K743" s="79"/>
      <c r="L743" s="79"/>
      <c r="M743" s="3"/>
      <c r="N743" s="3"/>
      <c r="O743" s="3"/>
      <c r="P743" s="3"/>
      <c r="Q743" s="6"/>
      <c r="R743" s="3"/>
      <c r="S743" s="3"/>
      <c r="T743" s="3"/>
      <c r="U743" s="3"/>
      <c r="V743" s="3"/>
      <c r="W743" s="3"/>
      <c r="X743" s="3"/>
      <c r="Y743" s="3"/>
      <c r="Z743" s="3"/>
    </row>
    <row r="744" spans="11:26" ht="15.75" customHeight="1" x14ac:dyDescent="0.3">
      <c r="K744" s="79"/>
      <c r="L744" s="79"/>
      <c r="M744" s="3"/>
      <c r="N744" s="3"/>
      <c r="O744" s="3"/>
      <c r="P744" s="3"/>
      <c r="Q744" s="6"/>
      <c r="R744" s="3"/>
      <c r="S744" s="3"/>
      <c r="T744" s="3"/>
      <c r="U744" s="3"/>
      <c r="V744" s="3"/>
      <c r="W744" s="3"/>
      <c r="X744" s="3"/>
      <c r="Y744" s="3"/>
      <c r="Z744" s="3"/>
    </row>
    <row r="745" spans="11:26" ht="15.75" customHeight="1" x14ac:dyDescent="0.3">
      <c r="K745" s="79"/>
      <c r="L745" s="79"/>
      <c r="M745" s="3"/>
      <c r="N745" s="3"/>
      <c r="O745" s="3"/>
      <c r="P745" s="3"/>
      <c r="Q745" s="6"/>
      <c r="R745" s="3"/>
      <c r="S745" s="3"/>
      <c r="T745" s="3"/>
      <c r="U745" s="3"/>
      <c r="V745" s="3"/>
      <c r="W745" s="3"/>
      <c r="X745" s="3"/>
      <c r="Y745" s="3"/>
      <c r="Z745" s="3"/>
    </row>
    <row r="746" spans="11:26" ht="15.75" customHeight="1" x14ac:dyDescent="0.3">
      <c r="K746" s="79"/>
      <c r="L746" s="79"/>
      <c r="M746" s="3"/>
      <c r="N746" s="3"/>
      <c r="O746" s="3"/>
      <c r="P746" s="3"/>
      <c r="Q746" s="6"/>
      <c r="R746" s="3"/>
      <c r="S746" s="3"/>
      <c r="T746" s="3"/>
      <c r="U746" s="3"/>
      <c r="V746" s="3"/>
      <c r="W746" s="3"/>
      <c r="X746" s="3"/>
      <c r="Y746" s="3"/>
      <c r="Z746" s="3"/>
    </row>
    <row r="747" spans="11:26" ht="15.75" customHeight="1" x14ac:dyDescent="0.3">
      <c r="K747" s="79"/>
      <c r="L747" s="79"/>
      <c r="M747" s="3"/>
      <c r="N747" s="3"/>
      <c r="O747" s="3"/>
      <c r="P747" s="3"/>
      <c r="Q747" s="6"/>
      <c r="R747" s="3"/>
      <c r="S747" s="3"/>
      <c r="T747" s="3"/>
      <c r="U747" s="3"/>
      <c r="V747" s="3"/>
      <c r="W747" s="3"/>
      <c r="X747" s="3"/>
      <c r="Y747" s="3"/>
      <c r="Z747" s="3"/>
    </row>
    <row r="748" spans="11:26" ht="15.75" customHeight="1" x14ac:dyDescent="0.3">
      <c r="K748" s="79"/>
      <c r="L748" s="79"/>
      <c r="M748" s="3"/>
      <c r="N748" s="3"/>
      <c r="O748" s="3"/>
      <c r="P748" s="3"/>
      <c r="Q748" s="6"/>
      <c r="R748" s="3"/>
      <c r="S748" s="3"/>
      <c r="T748" s="3"/>
      <c r="U748" s="3"/>
      <c r="V748" s="3"/>
      <c r="W748" s="3"/>
      <c r="X748" s="3"/>
      <c r="Y748" s="3"/>
      <c r="Z748" s="3"/>
    </row>
    <row r="749" spans="11:26" ht="15.75" customHeight="1" x14ac:dyDescent="0.3">
      <c r="K749" s="79"/>
      <c r="L749" s="79"/>
      <c r="M749" s="3"/>
      <c r="N749" s="3"/>
      <c r="O749" s="3"/>
      <c r="P749" s="3"/>
      <c r="Q749" s="6"/>
      <c r="R749" s="3"/>
      <c r="S749" s="3"/>
      <c r="T749" s="3"/>
      <c r="U749" s="3"/>
      <c r="V749" s="3"/>
      <c r="W749" s="3"/>
      <c r="X749" s="3"/>
      <c r="Y749" s="3"/>
      <c r="Z749" s="3"/>
    </row>
    <row r="750" spans="11:26" ht="15.75" customHeight="1" x14ac:dyDescent="0.3">
      <c r="K750" s="79"/>
      <c r="L750" s="79"/>
      <c r="M750" s="3"/>
      <c r="N750" s="3"/>
      <c r="O750" s="3"/>
      <c r="P750" s="3"/>
      <c r="Q750" s="6"/>
      <c r="R750" s="3"/>
      <c r="S750" s="3"/>
      <c r="T750" s="3"/>
      <c r="U750" s="3"/>
      <c r="V750" s="3"/>
      <c r="W750" s="3"/>
      <c r="X750" s="3"/>
      <c r="Y750" s="3"/>
      <c r="Z750" s="3"/>
    </row>
    <row r="751" spans="11:26" ht="15.75" customHeight="1" x14ac:dyDescent="0.3">
      <c r="K751" s="79"/>
      <c r="L751" s="79"/>
      <c r="M751" s="3"/>
      <c r="N751" s="3"/>
      <c r="O751" s="3"/>
      <c r="P751" s="3"/>
      <c r="Q751" s="6"/>
      <c r="R751" s="3"/>
      <c r="S751" s="3"/>
      <c r="T751" s="3"/>
      <c r="U751" s="3"/>
      <c r="V751" s="3"/>
      <c r="W751" s="3"/>
      <c r="X751" s="3"/>
      <c r="Y751" s="3"/>
      <c r="Z751" s="3"/>
    </row>
    <row r="752" spans="11:26" ht="15.75" customHeight="1" x14ac:dyDescent="0.3">
      <c r="K752" s="79"/>
      <c r="L752" s="79"/>
      <c r="M752" s="3"/>
      <c r="N752" s="3"/>
      <c r="O752" s="3"/>
      <c r="P752" s="3"/>
      <c r="Q752" s="6"/>
      <c r="R752" s="3"/>
      <c r="S752" s="3"/>
      <c r="T752" s="3"/>
      <c r="U752" s="3"/>
      <c r="V752" s="3"/>
      <c r="W752" s="3"/>
      <c r="X752" s="3"/>
      <c r="Y752" s="3"/>
      <c r="Z752" s="3"/>
    </row>
    <row r="753" spans="11:26" ht="15.75" customHeight="1" x14ac:dyDescent="0.3">
      <c r="K753" s="79"/>
      <c r="L753" s="79"/>
      <c r="M753" s="3"/>
      <c r="N753" s="3"/>
      <c r="O753" s="3"/>
      <c r="P753" s="3"/>
      <c r="Q753" s="6"/>
      <c r="R753" s="3"/>
      <c r="S753" s="3"/>
      <c r="T753" s="3"/>
      <c r="U753" s="3"/>
      <c r="V753" s="3"/>
      <c r="W753" s="3"/>
      <c r="X753" s="3"/>
      <c r="Y753" s="3"/>
      <c r="Z753" s="3"/>
    </row>
    <row r="754" spans="11:26" ht="15.75" customHeight="1" x14ac:dyDescent="0.3">
      <c r="K754" s="79"/>
      <c r="L754" s="79"/>
      <c r="M754" s="3"/>
      <c r="N754" s="3"/>
      <c r="O754" s="3"/>
      <c r="P754" s="3"/>
      <c r="Q754" s="6"/>
      <c r="R754" s="3"/>
      <c r="S754" s="3"/>
      <c r="T754" s="3"/>
      <c r="U754" s="3"/>
      <c r="V754" s="3"/>
      <c r="W754" s="3"/>
      <c r="X754" s="3"/>
      <c r="Y754" s="3"/>
      <c r="Z754" s="3"/>
    </row>
    <row r="755" spans="11:26" ht="15.75" customHeight="1" x14ac:dyDescent="0.3">
      <c r="K755" s="79"/>
      <c r="L755" s="79"/>
      <c r="M755" s="3"/>
      <c r="N755" s="3"/>
      <c r="O755" s="3"/>
      <c r="P755" s="3"/>
      <c r="Q755" s="6"/>
      <c r="R755" s="3"/>
      <c r="S755" s="3"/>
      <c r="T755" s="3"/>
      <c r="U755" s="3"/>
      <c r="V755" s="3"/>
      <c r="W755" s="3"/>
      <c r="X755" s="3"/>
      <c r="Y755" s="3"/>
      <c r="Z755" s="3"/>
    </row>
    <row r="756" spans="11:26" ht="15.75" customHeight="1" x14ac:dyDescent="0.3">
      <c r="K756" s="79"/>
      <c r="L756" s="79"/>
      <c r="M756" s="3"/>
      <c r="N756" s="3"/>
      <c r="O756" s="3"/>
      <c r="P756" s="3"/>
      <c r="Q756" s="6"/>
      <c r="R756" s="3"/>
      <c r="S756" s="3"/>
      <c r="T756" s="3"/>
      <c r="U756" s="3"/>
      <c r="V756" s="3"/>
      <c r="W756" s="3"/>
      <c r="X756" s="3"/>
      <c r="Y756" s="3"/>
      <c r="Z756" s="3"/>
    </row>
    <row r="757" spans="11:26" ht="15.75" customHeight="1" x14ac:dyDescent="0.3">
      <c r="K757" s="79"/>
      <c r="L757" s="79"/>
      <c r="M757" s="3"/>
      <c r="N757" s="3"/>
      <c r="O757" s="3"/>
      <c r="P757" s="3"/>
      <c r="Q757" s="6"/>
      <c r="R757" s="3"/>
      <c r="S757" s="3"/>
      <c r="T757" s="3"/>
      <c r="U757" s="3"/>
      <c r="V757" s="3"/>
      <c r="W757" s="3"/>
      <c r="X757" s="3"/>
      <c r="Y757" s="3"/>
      <c r="Z757" s="3"/>
    </row>
    <row r="758" spans="11:26" ht="15.75" customHeight="1" x14ac:dyDescent="0.3">
      <c r="K758" s="79"/>
      <c r="L758" s="79"/>
      <c r="M758" s="3"/>
      <c r="N758" s="3"/>
      <c r="O758" s="3"/>
      <c r="P758" s="3"/>
      <c r="Q758" s="6"/>
      <c r="R758" s="3"/>
      <c r="S758" s="3"/>
      <c r="T758" s="3"/>
      <c r="U758" s="3"/>
      <c r="V758" s="3"/>
      <c r="W758" s="3"/>
      <c r="X758" s="3"/>
      <c r="Y758" s="3"/>
      <c r="Z758" s="3"/>
    </row>
    <row r="759" spans="11:26" ht="15.75" customHeight="1" x14ac:dyDescent="0.3">
      <c r="K759" s="79"/>
      <c r="L759" s="79"/>
      <c r="M759" s="3"/>
      <c r="N759" s="3"/>
      <c r="O759" s="3"/>
      <c r="P759" s="3"/>
      <c r="Q759" s="6"/>
      <c r="R759" s="3"/>
      <c r="S759" s="3"/>
      <c r="T759" s="3"/>
      <c r="U759" s="3"/>
      <c r="V759" s="3"/>
      <c r="W759" s="3"/>
      <c r="X759" s="3"/>
      <c r="Y759" s="3"/>
      <c r="Z759" s="3"/>
    </row>
    <row r="760" spans="11:26" ht="15.75" customHeight="1" x14ac:dyDescent="0.3">
      <c r="K760" s="79"/>
      <c r="L760" s="79"/>
      <c r="M760" s="3"/>
      <c r="N760" s="3"/>
      <c r="O760" s="3"/>
      <c r="P760" s="3"/>
      <c r="Q760" s="6"/>
      <c r="R760" s="3"/>
      <c r="S760" s="3"/>
      <c r="T760" s="3"/>
      <c r="U760" s="3"/>
      <c r="V760" s="3"/>
      <c r="W760" s="3"/>
      <c r="X760" s="3"/>
      <c r="Y760" s="3"/>
      <c r="Z760" s="3"/>
    </row>
    <row r="761" spans="11:26" ht="15.75" customHeight="1" x14ac:dyDescent="0.3">
      <c r="K761" s="79"/>
      <c r="L761" s="79"/>
      <c r="M761" s="3"/>
      <c r="N761" s="3"/>
      <c r="O761" s="3"/>
      <c r="P761" s="3"/>
      <c r="Q761" s="6"/>
      <c r="R761" s="3"/>
      <c r="S761" s="3"/>
      <c r="T761" s="3"/>
      <c r="U761" s="3"/>
      <c r="V761" s="3"/>
      <c r="W761" s="3"/>
      <c r="X761" s="3"/>
      <c r="Y761" s="3"/>
      <c r="Z761" s="3"/>
    </row>
    <row r="762" spans="11:26" ht="15.75" customHeight="1" x14ac:dyDescent="0.3">
      <c r="K762" s="79"/>
      <c r="L762" s="79"/>
      <c r="M762" s="3"/>
      <c r="N762" s="3"/>
      <c r="O762" s="3"/>
      <c r="P762" s="3"/>
      <c r="Q762" s="6"/>
      <c r="R762" s="3"/>
      <c r="S762" s="3"/>
      <c r="T762" s="3"/>
      <c r="U762" s="3"/>
      <c r="V762" s="3"/>
      <c r="W762" s="3"/>
      <c r="X762" s="3"/>
      <c r="Y762" s="3"/>
      <c r="Z762" s="3"/>
    </row>
    <row r="763" spans="11:26" ht="15.75" customHeight="1" x14ac:dyDescent="0.3">
      <c r="K763" s="79"/>
      <c r="L763" s="79"/>
      <c r="M763" s="3"/>
      <c r="N763" s="3"/>
      <c r="O763" s="3"/>
      <c r="P763" s="3"/>
      <c r="Q763" s="6"/>
      <c r="R763" s="3"/>
      <c r="S763" s="3"/>
      <c r="T763" s="3"/>
      <c r="U763" s="3"/>
      <c r="V763" s="3"/>
      <c r="W763" s="3"/>
      <c r="X763" s="3"/>
      <c r="Y763" s="3"/>
      <c r="Z763" s="3"/>
    </row>
    <row r="764" spans="11:26" ht="15.75" customHeight="1" x14ac:dyDescent="0.3">
      <c r="K764" s="79"/>
      <c r="L764" s="79"/>
      <c r="M764" s="3"/>
      <c r="N764" s="3"/>
      <c r="O764" s="3"/>
      <c r="P764" s="3"/>
      <c r="Q764" s="6"/>
      <c r="R764" s="3"/>
      <c r="S764" s="3"/>
      <c r="T764" s="3"/>
      <c r="U764" s="3"/>
      <c r="V764" s="3"/>
      <c r="W764" s="3"/>
      <c r="X764" s="3"/>
      <c r="Y764" s="3"/>
      <c r="Z764" s="3"/>
    </row>
    <row r="765" spans="11:26" ht="15.75" customHeight="1" x14ac:dyDescent="0.3">
      <c r="K765" s="79"/>
      <c r="L765" s="79"/>
      <c r="M765" s="3"/>
      <c r="N765" s="3"/>
      <c r="O765" s="3"/>
      <c r="P765" s="3"/>
      <c r="Q765" s="6"/>
      <c r="R765" s="3"/>
      <c r="S765" s="3"/>
      <c r="T765" s="3"/>
      <c r="U765" s="3"/>
      <c r="V765" s="3"/>
      <c r="W765" s="3"/>
      <c r="X765" s="3"/>
      <c r="Y765" s="3"/>
      <c r="Z765" s="3"/>
    </row>
    <row r="766" spans="11:26" ht="15.75" customHeight="1" x14ac:dyDescent="0.3">
      <c r="K766" s="79"/>
      <c r="L766" s="79"/>
      <c r="M766" s="3"/>
      <c r="N766" s="3"/>
      <c r="O766" s="3"/>
      <c r="P766" s="3"/>
      <c r="Q766" s="6"/>
      <c r="R766" s="3"/>
      <c r="S766" s="3"/>
      <c r="T766" s="3"/>
      <c r="U766" s="3"/>
      <c r="V766" s="3"/>
      <c r="W766" s="3"/>
      <c r="X766" s="3"/>
      <c r="Y766" s="3"/>
      <c r="Z766" s="3"/>
    </row>
    <row r="767" spans="11:26" ht="15.75" customHeight="1" x14ac:dyDescent="0.3">
      <c r="K767" s="79"/>
      <c r="L767" s="79"/>
      <c r="M767" s="3"/>
      <c r="N767" s="3"/>
      <c r="O767" s="3"/>
      <c r="P767" s="3"/>
      <c r="Q767" s="6"/>
      <c r="R767" s="3"/>
      <c r="S767" s="3"/>
      <c r="T767" s="3"/>
      <c r="U767" s="3"/>
      <c r="V767" s="3"/>
      <c r="W767" s="3"/>
      <c r="X767" s="3"/>
      <c r="Y767" s="3"/>
      <c r="Z767" s="3"/>
    </row>
    <row r="768" spans="11:26" ht="15.75" customHeight="1" x14ac:dyDescent="0.3">
      <c r="K768" s="79"/>
      <c r="L768" s="79"/>
      <c r="M768" s="3"/>
      <c r="N768" s="3"/>
      <c r="O768" s="3"/>
      <c r="P768" s="3"/>
      <c r="Q768" s="6"/>
      <c r="R768" s="3"/>
      <c r="S768" s="3"/>
      <c r="T768" s="3"/>
      <c r="U768" s="3"/>
      <c r="V768" s="3"/>
      <c r="W768" s="3"/>
      <c r="X768" s="3"/>
      <c r="Y768" s="3"/>
      <c r="Z768" s="3"/>
    </row>
    <row r="769" spans="11:26" ht="15.75" customHeight="1" x14ac:dyDescent="0.3">
      <c r="K769" s="79"/>
      <c r="L769" s="79"/>
      <c r="M769" s="3"/>
      <c r="N769" s="3"/>
      <c r="O769" s="3"/>
      <c r="P769" s="3"/>
      <c r="Q769" s="6"/>
      <c r="R769" s="3"/>
      <c r="S769" s="3"/>
      <c r="T769" s="3"/>
      <c r="U769" s="3"/>
      <c r="V769" s="3"/>
      <c r="W769" s="3"/>
      <c r="X769" s="3"/>
      <c r="Y769" s="3"/>
      <c r="Z769" s="3"/>
    </row>
    <row r="770" spans="11:26" ht="15.75" customHeight="1" x14ac:dyDescent="0.3">
      <c r="K770" s="79"/>
      <c r="L770" s="79"/>
      <c r="M770" s="3"/>
      <c r="N770" s="3"/>
      <c r="O770" s="3"/>
      <c r="P770" s="3"/>
      <c r="Q770" s="6"/>
      <c r="R770" s="3"/>
      <c r="S770" s="3"/>
      <c r="T770" s="3"/>
      <c r="U770" s="3"/>
      <c r="V770" s="3"/>
      <c r="W770" s="3"/>
      <c r="X770" s="3"/>
      <c r="Y770" s="3"/>
      <c r="Z770" s="3"/>
    </row>
    <row r="771" spans="11:26" ht="15.75" customHeight="1" x14ac:dyDescent="0.3">
      <c r="K771" s="79"/>
      <c r="L771" s="79"/>
      <c r="M771" s="3"/>
      <c r="N771" s="3"/>
      <c r="O771" s="3"/>
      <c r="P771" s="3"/>
      <c r="Q771" s="6"/>
      <c r="R771" s="3"/>
      <c r="S771" s="3"/>
      <c r="T771" s="3"/>
      <c r="U771" s="3"/>
      <c r="V771" s="3"/>
      <c r="W771" s="3"/>
      <c r="X771" s="3"/>
      <c r="Y771" s="3"/>
      <c r="Z771" s="3"/>
    </row>
    <row r="772" spans="11:26" ht="15.75" customHeight="1" x14ac:dyDescent="0.3">
      <c r="K772" s="79"/>
      <c r="L772" s="79"/>
      <c r="M772" s="3"/>
      <c r="N772" s="3"/>
      <c r="O772" s="3"/>
      <c r="P772" s="3"/>
      <c r="Q772" s="6"/>
      <c r="R772" s="3"/>
      <c r="S772" s="3"/>
      <c r="T772" s="3"/>
      <c r="U772" s="3"/>
      <c r="V772" s="3"/>
      <c r="W772" s="3"/>
      <c r="X772" s="3"/>
      <c r="Y772" s="3"/>
      <c r="Z772" s="3"/>
    </row>
    <row r="773" spans="11:26" ht="15.75" customHeight="1" x14ac:dyDescent="0.3">
      <c r="K773" s="79"/>
      <c r="L773" s="79"/>
      <c r="M773" s="3"/>
      <c r="N773" s="3"/>
      <c r="O773" s="3"/>
      <c r="P773" s="3"/>
      <c r="Q773" s="6"/>
      <c r="R773" s="3"/>
      <c r="S773" s="3"/>
      <c r="T773" s="3"/>
      <c r="U773" s="3"/>
      <c r="V773" s="3"/>
      <c r="W773" s="3"/>
      <c r="X773" s="3"/>
      <c r="Y773" s="3"/>
      <c r="Z773" s="3"/>
    </row>
    <row r="774" spans="11:26" ht="15.75" customHeight="1" x14ac:dyDescent="0.3">
      <c r="K774" s="79"/>
      <c r="L774" s="79"/>
      <c r="M774" s="3"/>
      <c r="N774" s="3"/>
      <c r="O774" s="3"/>
      <c r="P774" s="3"/>
      <c r="Q774" s="6"/>
      <c r="R774" s="3"/>
      <c r="S774" s="3"/>
      <c r="T774" s="3"/>
      <c r="U774" s="3"/>
      <c r="V774" s="3"/>
      <c r="W774" s="3"/>
      <c r="X774" s="3"/>
      <c r="Y774" s="3"/>
      <c r="Z774" s="3"/>
    </row>
    <row r="775" spans="11:26" ht="15.75" customHeight="1" x14ac:dyDescent="0.3">
      <c r="K775" s="79"/>
      <c r="L775" s="79"/>
      <c r="M775" s="3"/>
      <c r="N775" s="3"/>
      <c r="O775" s="3"/>
      <c r="P775" s="3"/>
      <c r="Q775" s="6"/>
      <c r="R775" s="3"/>
      <c r="S775" s="3"/>
      <c r="T775" s="3"/>
      <c r="U775" s="3"/>
      <c r="V775" s="3"/>
      <c r="W775" s="3"/>
      <c r="X775" s="3"/>
      <c r="Y775" s="3"/>
      <c r="Z775" s="3"/>
    </row>
    <row r="776" spans="11:26" ht="15.75" customHeight="1" x14ac:dyDescent="0.3">
      <c r="K776" s="79"/>
      <c r="L776" s="79"/>
      <c r="M776" s="3"/>
      <c r="N776" s="3"/>
      <c r="O776" s="3"/>
      <c r="P776" s="3"/>
      <c r="Q776" s="6"/>
      <c r="R776" s="3"/>
      <c r="S776" s="3"/>
      <c r="T776" s="3"/>
      <c r="U776" s="3"/>
      <c r="V776" s="3"/>
      <c r="W776" s="3"/>
      <c r="X776" s="3"/>
      <c r="Y776" s="3"/>
      <c r="Z776" s="3"/>
    </row>
    <row r="777" spans="11:26" ht="15.75" customHeight="1" x14ac:dyDescent="0.3">
      <c r="K777" s="79"/>
      <c r="L777" s="79"/>
      <c r="M777" s="3"/>
      <c r="N777" s="3"/>
      <c r="O777" s="3"/>
      <c r="P777" s="3"/>
      <c r="Q777" s="6"/>
      <c r="R777" s="3"/>
      <c r="S777" s="3"/>
      <c r="T777" s="3"/>
      <c r="U777" s="3"/>
      <c r="V777" s="3"/>
      <c r="W777" s="3"/>
      <c r="X777" s="3"/>
      <c r="Y777" s="3"/>
      <c r="Z777" s="3"/>
    </row>
    <row r="778" spans="11:26" ht="15.75" customHeight="1" x14ac:dyDescent="0.3">
      <c r="K778" s="79"/>
      <c r="L778" s="79"/>
      <c r="M778" s="3"/>
      <c r="N778" s="3"/>
      <c r="O778" s="3"/>
      <c r="P778" s="3"/>
      <c r="Q778" s="6"/>
      <c r="R778" s="3"/>
      <c r="S778" s="3"/>
      <c r="T778" s="3"/>
      <c r="U778" s="3"/>
      <c r="V778" s="3"/>
      <c r="W778" s="3"/>
      <c r="X778" s="3"/>
      <c r="Y778" s="3"/>
      <c r="Z778" s="3"/>
    </row>
    <row r="779" spans="11:26" ht="15.75" customHeight="1" x14ac:dyDescent="0.3">
      <c r="K779" s="79"/>
      <c r="L779" s="79"/>
      <c r="M779" s="3"/>
      <c r="N779" s="3"/>
      <c r="O779" s="3"/>
      <c r="P779" s="3"/>
      <c r="Q779" s="6"/>
      <c r="R779" s="3"/>
      <c r="S779" s="3"/>
      <c r="T779" s="3"/>
      <c r="U779" s="3"/>
      <c r="V779" s="3"/>
      <c r="W779" s="3"/>
      <c r="X779" s="3"/>
      <c r="Y779" s="3"/>
      <c r="Z779" s="3"/>
    </row>
    <row r="780" spans="11:26" ht="15.75" customHeight="1" x14ac:dyDescent="0.3">
      <c r="K780" s="79"/>
      <c r="L780" s="79"/>
      <c r="M780" s="3"/>
      <c r="N780" s="3"/>
      <c r="O780" s="3"/>
      <c r="P780" s="3"/>
      <c r="Q780" s="6"/>
      <c r="R780" s="3"/>
      <c r="S780" s="3"/>
      <c r="T780" s="3"/>
      <c r="U780" s="3"/>
      <c r="V780" s="3"/>
      <c r="W780" s="3"/>
      <c r="X780" s="3"/>
      <c r="Y780" s="3"/>
      <c r="Z780" s="3"/>
    </row>
    <row r="781" spans="11:26" ht="15.75" customHeight="1" x14ac:dyDescent="0.3">
      <c r="K781" s="79"/>
      <c r="L781" s="79"/>
      <c r="M781" s="3"/>
      <c r="N781" s="3"/>
      <c r="O781" s="3"/>
      <c r="P781" s="3"/>
      <c r="Q781" s="6"/>
      <c r="R781" s="3"/>
      <c r="S781" s="3"/>
      <c r="T781" s="3"/>
      <c r="U781" s="3"/>
      <c r="V781" s="3"/>
      <c r="W781" s="3"/>
      <c r="X781" s="3"/>
      <c r="Y781" s="3"/>
      <c r="Z781" s="3"/>
    </row>
    <row r="782" spans="11:26" ht="15.75" customHeight="1" x14ac:dyDescent="0.3">
      <c r="K782" s="79"/>
      <c r="L782" s="79"/>
      <c r="M782" s="3"/>
      <c r="N782" s="3"/>
      <c r="O782" s="3"/>
      <c r="P782" s="3"/>
      <c r="Q782" s="6"/>
      <c r="R782" s="3"/>
      <c r="S782" s="3"/>
      <c r="T782" s="3"/>
      <c r="U782" s="3"/>
      <c r="V782" s="3"/>
      <c r="W782" s="3"/>
      <c r="X782" s="3"/>
      <c r="Y782" s="3"/>
      <c r="Z782" s="3"/>
    </row>
    <row r="783" spans="11:26" ht="15.75" customHeight="1" x14ac:dyDescent="0.3">
      <c r="K783" s="79"/>
      <c r="L783" s="79"/>
      <c r="M783" s="3"/>
      <c r="N783" s="3"/>
      <c r="O783" s="3"/>
      <c r="P783" s="3"/>
      <c r="Q783" s="6"/>
      <c r="R783" s="3"/>
      <c r="S783" s="3"/>
      <c r="T783" s="3"/>
      <c r="U783" s="3"/>
      <c r="V783" s="3"/>
      <c r="W783" s="3"/>
      <c r="X783" s="3"/>
      <c r="Y783" s="3"/>
      <c r="Z783" s="3"/>
    </row>
    <row r="784" spans="11:26" ht="15.75" customHeight="1" x14ac:dyDescent="0.3">
      <c r="K784" s="79"/>
      <c r="L784" s="79"/>
      <c r="M784" s="3"/>
      <c r="N784" s="3"/>
      <c r="O784" s="3"/>
      <c r="P784" s="3"/>
      <c r="Q784" s="6"/>
      <c r="R784" s="3"/>
      <c r="S784" s="3"/>
      <c r="T784" s="3"/>
      <c r="U784" s="3"/>
      <c r="V784" s="3"/>
      <c r="W784" s="3"/>
      <c r="X784" s="3"/>
      <c r="Y784" s="3"/>
      <c r="Z784" s="3"/>
    </row>
    <row r="785" spans="11:26" ht="15.75" customHeight="1" x14ac:dyDescent="0.3">
      <c r="K785" s="79"/>
      <c r="L785" s="79"/>
      <c r="M785" s="3"/>
      <c r="N785" s="3"/>
      <c r="O785" s="3"/>
      <c r="P785" s="3"/>
      <c r="Q785" s="6"/>
      <c r="R785" s="3"/>
      <c r="S785" s="3"/>
      <c r="T785" s="3"/>
      <c r="U785" s="3"/>
      <c r="V785" s="3"/>
      <c r="W785" s="3"/>
      <c r="X785" s="3"/>
      <c r="Y785" s="3"/>
      <c r="Z785" s="3"/>
    </row>
    <row r="786" spans="11:26" ht="15.75" customHeight="1" x14ac:dyDescent="0.3">
      <c r="K786" s="79"/>
      <c r="L786" s="79"/>
      <c r="M786" s="3"/>
      <c r="N786" s="3"/>
      <c r="O786" s="3"/>
      <c r="P786" s="3"/>
      <c r="Q786" s="6"/>
      <c r="R786" s="3"/>
      <c r="S786" s="3"/>
      <c r="T786" s="3"/>
      <c r="U786" s="3"/>
      <c r="V786" s="3"/>
      <c r="W786" s="3"/>
      <c r="X786" s="3"/>
      <c r="Y786" s="3"/>
      <c r="Z786" s="3"/>
    </row>
    <row r="787" spans="11:26" ht="15.75" customHeight="1" x14ac:dyDescent="0.3">
      <c r="K787" s="79"/>
      <c r="L787" s="79"/>
      <c r="M787" s="3"/>
      <c r="N787" s="3"/>
      <c r="O787" s="3"/>
      <c r="P787" s="3"/>
      <c r="Q787" s="6"/>
      <c r="R787" s="3"/>
      <c r="S787" s="3"/>
      <c r="T787" s="3"/>
      <c r="U787" s="3"/>
      <c r="V787" s="3"/>
      <c r="W787" s="3"/>
      <c r="X787" s="3"/>
      <c r="Y787" s="3"/>
      <c r="Z787" s="3"/>
    </row>
    <row r="788" spans="11:26" ht="15.75" customHeight="1" x14ac:dyDescent="0.3">
      <c r="K788" s="79"/>
      <c r="L788" s="79"/>
      <c r="M788" s="3"/>
      <c r="N788" s="3"/>
      <c r="O788" s="3"/>
      <c r="P788" s="3"/>
      <c r="Q788" s="6"/>
      <c r="R788" s="3"/>
      <c r="S788" s="3"/>
      <c r="T788" s="3"/>
      <c r="U788" s="3"/>
      <c r="V788" s="3"/>
      <c r="W788" s="3"/>
      <c r="X788" s="3"/>
      <c r="Y788" s="3"/>
      <c r="Z788" s="3"/>
    </row>
    <row r="789" spans="11:26" ht="15.75" customHeight="1" x14ac:dyDescent="0.3">
      <c r="K789" s="79"/>
      <c r="L789" s="79"/>
      <c r="M789" s="3"/>
      <c r="N789" s="3"/>
      <c r="O789" s="3"/>
      <c r="P789" s="3"/>
      <c r="Q789" s="6"/>
      <c r="R789" s="3"/>
      <c r="S789" s="3"/>
      <c r="T789" s="3"/>
      <c r="U789" s="3"/>
      <c r="V789" s="3"/>
      <c r="W789" s="3"/>
      <c r="X789" s="3"/>
      <c r="Y789" s="3"/>
      <c r="Z789" s="3"/>
    </row>
    <row r="790" spans="11:26" ht="15.75" customHeight="1" x14ac:dyDescent="0.3">
      <c r="K790" s="79"/>
      <c r="L790" s="79"/>
      <c r="M790" s="3"/>
      <c r="N790" s="3"/>
      <c r="O790" s="3"/>
      <c r="P790" s="3"/>
      <c r="Q790" s="6"/>
      <c r="R790" s="3"/>
      <c r="S790" s="3"/>
      <c r="T790" s="3"/>
      <c r="U790" s="3"/>
      <c r="V790" s="3"/>
      <c r="W790" s="3"/>
      <c r="X790" s="3"/>
      <c r="Y790" s="3"/>
      <c r="Z790" s="3"/>
    </row>
    <row r="791" spans="11:26" ht="15.75" customHeight="1" x14ac:dyDescent="0.3">
      <c r="K791" s="79"/>
      <c r="L791" s="79"/>
      <c r="M791" s="3"/>
      <c r="N791" s="3"/>
      <c r="O791" s="3"/>
      <c r="P791" s="3"/>
      <c r="Q791" s="6"/>
      <c r="R791" s="3"/>
      <c r="S791" s="3"/>
      <c r="T791" s="3"/>
      <c r="U791" s="3"/>
      <c r="V791" s="3"/>
      <c r="W791" s="3"/>
      <c r="X791" s="3"/>
      <c r="Y791" s="3"/>
      <c r="Z791" s="3"/>
    </row>
    <row r="792" spans="11:26" ht="15.75" customHeight="1" x14ac:dyDescent="0.3">
      <c r="K792" s="79"/>
      <c r="L792" s="79"/>
      <c r="M792" s="3"/>
      <c r="N792" s="3"/>
      <c r="O792" s="3"/>
      <c r="P792" s="3"/>
      <c r="Q792" s="6"/>
      <c r="R792" s="3"/>
      <c r="S792" s="3"/>
      <c r="T792" s="3"/>
      <c r="U792" s="3"/>
      <c r="V792" s="3"/>
      <c r="W792" s="3"/>
      <c r="X792" s="3"/>
      <c r="Y792" s="3"/>
      <c r="Z792" s="3"/>
    </row>
    <row r="793" spans="11:26" ht="15.75" customHeight="1" x14ac:dyDescent="0.3">
      <c r="K793" s="79"/>
      <c r="L793" s="79"/>
      <c r="M793" s="3"/>
      <c r="N793" s="3"/>
      <c r="O793" s="3"/>
      <c r="P793" s="3"/>
      <c r="Q793" s="6"/>
      <c r="R793" s="3"/>
      <c r="S793" s="3"/>
      <c r="T793" s="3"/>
      <c r="U793" s="3"/>
      <c r="V793" s="3"/>
      <c r="W793" s="3"/>
      <c r="X793" s="3"/>
      <c r="Y793" s="3"/>
      <c r="Z793" s="3"/>
    </row>
    <row r="794" spans="11:26" ht="15.75" customHeight="1" x14ac:dyDescent="0.3">
      <c r="K794" s="79"/>
      <c r="L794" s="79"/>
      <c r="M794" s="3"/>
      <c r="N794" s="3"/>
      <c r="O794" s="3"/>
      <c r="P794" s="3"/>
      <c r="Q794" s="6"/>
      <c r="R794" s="3"/>
      <c r="S794" s="3"/>
      <c r="T794" s="3"/>
      <c r="U794" s="3"/>
      <c r="V794" s="3"/>
      <c r="W794" s="3"/>
      <c r="X794" s="3"/>
      <c r="Y794" s="3"/>
      <c r="Z794" s="3"/>
    </row>
    <row r="795" spans="11:26" ht="15.75" customHeight="1" x14ac:dyDescent="0.3">
      <c r="K795" s="79"/>
      <c r="L795" s="79"/>
      <c r="M795" s="3"/>
      <c r="N795" s="3"/>
      <c r="O795" s="3"/>
      <c r="P795" s="3"/>
      <c r="Q795" s="6"/>
      <c r="R795" s="3"/>
      <c r="S795" s="3"/>
      <c r="T795" s="3"/>
      <c r="U795" s="3"/>
      <c r="V795" s="3"/>
      <c r="W795" s="3"/>
      <c r="X795" s="3"/>
      <c r="Y795" s="3"/>
      <c r="Z795" s="3"/>
    </row>
    <row r="796" spans="11:26" ht="15.75" customHeight="1" x14ac:dyDescent="0.3">
      <c r="K796" s="79"/>
      <c r="L796" s="79"/>
      <c r="M796" s="3"/>
      <c r="N796" s="3"/>
      <c r="O796" s="3"/>
      <c r="P796" s="3"/>
      <c r="Q796" s="6"/>
      <c r="R796" s="3"/>
      <c r="S796" s="3"/>
      <c r="T796" s="3"/>
      <c r="U796" s="3"/>
      <c r="V796" s="3"/>
      <c r="W796" s="3"/>
      <c r="X796" s="3"/>
      <c r="Y796" s="3"/>
      <c r="Z796" s="3"/>
    </row>
    <row r="797" spans="11:26" ht="15.75" customHeight="1" x14ac:dyDescent="0.3">
      <c r="K797" s="79"/>
      <c r="L797" s="79"/>
      <c r="M797" s="3"/>
      <c r="N797" s="3"/>
      <c r="O797" s="3"/>
      <c r="P797" s="3"/>
      <c r="Q797" s="6"/>
      <c r="R797" s="3"/>
      <c r="S797" s="3"/>
      <c r="T797" s="3"/>
      <c r="U797" s="3"/>
      <c r="V797" s="3"/>
      <c r="W797" s="3"/>
      <c r="X797" s="3"/>
      <c r="Y797" s="3"/>
      <c r="Z797" s="3"/>
    </row>
    <row r="798" spans="11:26" ht="15.75" customHeight="1" x14ac:dyDescent="0.3">
      <c r="K798" s="79"/>
      <c r="L798" s="79"/>
      <c r="M798" s="3"/>
      <c r="N798" s="3"/>
      <c r="O798" s="3"/>
      <c r="P798" s="3"/>
      <c r="Q798" s="6"/>
      <c r="R798" s="3"/>
      <c r="S798" s="3"/>
      <c r="T798" s="3"/>
      <c r="U798" s="3"/>
      <c r="V798" s="3"/>
      <c r="W798" s="3"/>
      <c r="X798" s="3"/>
      <c r="Y798" s="3"/>
      <c r="Z798" s="3"/>
    </row>
    <row r="799" spans="11:26" ht="15.75" customHeight="1" x14ac:dyDescent="0.3">
      <c r="K799" s="79"/>
      <c r="L799" s="79"/>
      <c r="M799" s="3"/>
      <c r="N799" s="3"/>
      <c r="O799" s="3"/>
      <c r="P799" s="3"/>
      <c r="Q799" s="6"/>
      <c r="R799" s="3"/>
      <c r="S799" s="3"/>
      <c r="T799" s="3"/>
      <c r="U799" s="3"/>
      <c r="V799" s="3"/>
      <c r="W799" s="3"/>
      <c r="X799" s="3"/>
      <c r="Y799" s="3"/>
      <c r="Z799" s="3"/>
    </row>
    <row r="800" spans="11:26" ht="15.75" customHeight="1" x14ac:dyDescent="0.3">
      <c r="K800" s="79"/>
      <c r="L800" s="79"/>
      <c r="M800" s="3"/>
      <c r="N800" s="3"/>
      <c r="O800" s="3"/>
      <c r="P800" s="3"/>
      <c r="Q800" s="6"/>
      <c r="R800" s="3"/>
      <c r="S800" s="3"/>
      <c r="T800" s="3"/>
      <c r="U800" s="3"/>
      <c r="V800" s="3"/>
      <c r="W800" s="3"/>
      <c r="X800" s="3"/>
      <c r="Y800" s="3"/>
      <c r="Z800" s="3"/>
    </row>
    <row r="801" spans="11:26" ht="15.75" customHeight="1" x14ac:dyDescent="0.3">
      <c r="K801" s="79"/>
      <c r="L801" s="79"/>
      <c r="M801" s="3"/>
      <c r="N801" s="3"/>
      <c r="O801" s="3"/>
      <c r="P801" s="3"/>
      <c r="Q801" s="6"/>
      <c r="R801" s="3"/>
      <c r="S801" s="3"/>
      <c r="T801" s="3"/>
      <c r="U801" s="3"/>
      <c r="V801" s="3"/>
      <c r="W801" s="3"/>
      <c r="X801" s="3"/>
      <c r="Y801" s="3"/>
      <c r="Z801" s="3"/>
    </row>
    <row r="802" spans="11:26" ht="15.75" customHeight="1" x14ac:dyDescent="0.3">
      <c r="K802" s="79"/>
      <c r="L802" s="79"/>
      <c r="M802" s="3"/>
      <c r="N802" s="3"/>
      <c r="O802" s="3"/>
      <c r="P802" s="3"/>
      <c r="Q802" s="6"/>
      <c r="R802" s="3"/>
      <c r="S802" s="3"/>
      <c r="T802" s="3"/>
      <c r="U802" s="3"/>
      <c r="V802" s="3"/>
      <c r="W802" s="3"/>
      <c r="X802" s="3"/>
      <c r="Y802" s="3"/>
      <c r="Z802" s="3"/>
    </row>
    <row r="803" spans="11:26" ht="15.75" customHeight="1" x14ac:dyDescent="0.3">
      <c r="K803" s="79"/>
      <c r="L803" s="79"/>
      <c r="M803" s="3"/>
      <c r="N803" s="3"/>
      <c r="O803" s="3"/>
      <c r="P803" s="3"/>
      <c r="Q803" s="6"/>
      <c r="R803" s="3"/>
      <c r="S803" s="3"/>
      <c r="T803" s="3"/>
      <c r="U803" s="3"/>
      <c r="V803" s="3"/>
      <c r="W803" s="3"/>
      <c r="X803" s="3"/>
      <c r="Y803" s="3"/>
      <c r="Z803" s="3"/>
    </row>
    <row r="804" spans="11:26" ht="15.75" customHeight="1" x14ac:dyDescent="0.3">
      <c r="K804" s="79"/>
      <c r="L804" s="79"/>
      <c r="M804" s="3"/>
      <c r="N804" s="3"/>
      <c r="O804" s="3"/>
      <c r="P804" s="3"/>
      <c r="Q804" s="6"/>
      <c r="R804" s="3"/>
      <c r="S804" s="3"/>
      <c r="T804" s="3"/>
      <c r="U804" s="3"/>
      <c r="V804" s="3"/>
      <c r="W804" s="3"/>
      <c r="X804" s="3"/>
      <c r="Y804" s="3"/>
      <c r="Z804" s="3"/>
    </row>
    <row r="805" spans="11:26" ht="15.75" customHeight="1" x14ac:dyDescent="0.3">
      <c r="K805" s="79"/>
      <c r="L805" s="79"/>
      <c r="M805" s="3"/>
      <c r="N805" s="3"/>
      <c r="O805" s="3"/>
      <c r="P805" s="3"/>
      <c r="Q805" s="6"/>
      <c r="R805" s="3"/>
      <c r="S805" s="3"/>
      <c r="T805" s="3"/>
      <c r="U805" s="3"/>
      <c r="V805" s="3"/>
      <c r="W805" s="3"/>
      <c r="X805" s="3"/>
      <c r="Y805" s="3"/>
      <c r="Z805" s="3"/>
    </row>
    <row r="806" spans="11:26" ht="15.75" customHeight="1" x14ac:dyDescent="0.3">
      <c r="K806" s="79"/>
      <c r="L806" s="79"/>
      <c r="M806" s="3"/>
      <c r="N806" s="3"/>
      <c r="O806" s="3"/>
      <c r="P806" s="3"/>
      <c r="Q806" s="6"/>
      <c r="R806" s="3"/>
      <c r="S806" s="3"/>
      <c r="T806" s="3"/>
      <c r="U806" s="3"/>
      <c r="V806" s="3"/>
      <c r="W806" s="3"/>
      <c r="X806" s="3"/>
      <c r="Y806" s="3"/>
      <c r="Z806" s="3"/>
    </row>
    <row r="807" spans="11:26" ht="15.75" customHeight="1" x14ac:dyDescent="0.3">
      <c r="K807" s="79"/>
      <c r="L807" s="79"/>
      <c r="M807" s="3"/>
      <c r="N807" s="3"/>
      <c r="O807" s="3"/>
      <c r="P807" s="3"/>
      <c r="Q807" s="6"/>
      <c r="R807" s="3"/>
      <c r="S807" s="3"/>
      <c r="T807" s="3"/>
      <c r="U807" s="3"/>
      <c r="V807" s="3"/>
      <c r="W807" s="3"/>
      <c r="X807" s="3"/>
      <c r="Y807" s="3"/>
      <c r="Z807" s="3"/>
    </row>
    <row r="808" spans="11:26" ht="15.75" customHeight="1" x14ac:dyDescent="0.3">
      <c r="K808" s="79"/>
      <c r="L808" s="79"/>
      <c r="M808" s="3"/>
      <c r="N808" s="3"/>
      <c r="O808" s="3"/>
      <c r="P808" s="3"/>
      <c r="Q808" s="6"/>
      <c r="R808" s="3"/>
      <c r="S808" s="3"/>
      <c r="T808" s="3"/>
      <c r="U808" s="3"/>
      <c r="V808" s="3"/>
      <c r="W808" s="3"/>
      <c r="X808" s="3"/>
      <c r="Y808" s="3"/>
      <c r="Z808" s="3"/>
    </row>
    <row r="809" spans="11:26" ht="15.75" customHeight="1" x14ac:dyDescent="0.3">
      <c r="K809" s="79"/>
      <c r="L809" s="79"/>
      <c r="M809" s="3"/>
      <c r="N809" s="3"/>
      <c r="O809" s="3"/>
      <c r="P809" s="3"/>
      <c r="Q809" s="6"/>
      <c r="R809" s="3"/>
      <c r="S809" s="3"/>
      <c r="T809" s="3"/>
      <c r="U809" s="3"/>
      <c r="V809" s="3"/>
      <c r="W809" s="3"/>
      <c r="X809" s="3"/>
      <c r="Y809" s="3"/>
      <c r="Z809" s="3"/>
    </row>
    <row r="810" spans="11:26" ht="15.75" customHeight="1" x14ac:dyDescent="0.3">
      <c r="K810" s="79"/>
      <c r="L810" s="79"/>
      <c r="M810" s="3"/>
      <c r="N810" s="3"/>
      <c r="O810" s="3"/>
      <c r="P810" s="3"/>
      <c r="Q810" s="6"/>
      <c r="R810" s="3"/>
      <c r="S810" s="3"/>
      <c r="T810" s="3"/>
      <c r="U810" s="3"/>
      <c r="V810" s="3"/>
      <c r="W810" s="3"/>
      <c r="X810" s="3"/>
      <c r="Y810" s="3"/>
      <c r="Z810" s="3"/>
    </row>
    <row r="811" spans="11:26" ht="15.75" customHeight="1" x14ac:dyDescent="0.3">
      <c r="K811" s="79"/>
      <c r="L811" s="79"/>
      <c r="M811" s="3"/>
      <c r="N811" s="3"/>
      <c r="O811" s="3"/>
      <c r="P811" s="3"/>
      <c r="Q811" s="6"/>
      <c r="R811" s="3"/>
      <c r="S811" s="3"/>
      <c r="T811" s="3"/>
      <c r="U811" s="3"/>
      <c r="V811" s="3"/>
      <c r="W811" s="3"/>
      <c r="X811" s="3"/>
      <c r="Y811" s="3"/>
      <c r="Z811" s="3"/>
    </row>
    <row r="812" spans="11:26" ht="15.75" customHeight="1" x14ac:dyDescent="0.3">
      <c r="K812" s="79"/>
      <c r="L812" s="79"/>
      <c r="M812" s="3"/>
      <c r="N812" s="3"/>
      <c r="O812" s="3"/>
      <c r="P812" s="3"/>
      <c r="Q812" s="6"/>
      <c r="R812" s="3"/>
      <c r="S812" s="3"/>
      <c r="T812" s="3"/>
      <c r="U812" s="3"/>
      <c r="V812" s="3"/>
      <c r="W812" s="3"/>
      <c r="X812" s="3"/>
      <c r="Y812" s="3"/>
      <c r="Z812" s="3"/>
    </row>
    <row r="813" spans="11:26" ht="15.75" customHeight="1" x14ac:dyDescent="0.3">
      <c r="K813" s="79"/>
      <c r="L813" s="79"/>
      <c r="M813" s="3"/>
      <c r="N813" s="3"/>
      <c r="O813" s="3"/>
      <c r="P813" s="3"/>
      <c r="Q813" s="6"/>
      <c r="R813" s="3"/>
      <c r="S813" s="3"/>
      <c r="T813" s="3"/>
      <c r="U813" s="3"/>
      <c r="V813" s="3"/>
      <c r="W813" s="3"/>
      <c r="X813" s="3"/>
      <c r="Y813" s="3"/>
      <c r="Z813" s="3"/>
    </row>
    <row r="814" spans="11:26" ht="15.75" customHeight="1" x14ac:dyDescent="0.3">
      <c r="K814" s="79"/>
      <c r="L814" s="79"/>
      <c r="M814" s="3"/>
      <c r="N814" s="3"/>
      <c r="O814" s="3"/>
      <c r="P814" s="3"/>
      <c r="Q814" s="6"/>
      <c r="R814" s="3"/>
      <c r="S814" s="3"/>
      <c r="T814" s="3"/>
      <c r="U814" s="3"/>
      <c r="V814" s="3"/>
      <c r="W814" s="3"/>
      <c r="X814" s="3"/>
      <c r="Y814" s="3"/>
      <c r="Z814" s="3"/>
    </row>
    <row r="815" spans="11:26" ht="15.75" customHeight="1" x14ac:dyDescent="0.3">
      <c r="K815" s="79"/>
      <c r="L815" s="79"/>
      <c r="M815" s="3"/>
      <c r="N815" s="3"/>
      <c r="O815" s="3"/>
      <c r="P815" s="3"/>
      <c r="Q815" s="6"/>
      <c r="R815" s="3"/>
      <c r="S815" s="3"/>
      <c r="T815" s="3"/>
      <c r="U815" s="3"/>
      <c r="V815" s="3"/>
      <c r="W815" s="3"/>
      <c r="X815" s="3"/>
      <c r="Y815" s="3"/>
      <c r="Z815" s="3"/>
    </row>
    <row r="816" spans="11:26" ht="15.75" customHeight="1" x14ac:dyDescent="0.3">
      <c r="K816" s="79"/>
      <c r="L816" s="79"/>
      <c r="M816" s="3"/>
      <c r="N816" s="3"/>
      <c r="O816" s="3"/>
      <c r="P816" s="3"/>
      <c r="Q816" s="6"/>
      <c r="R816" s="3"/>
      <c r="S816" s="3"/>
      <c r="T816" s="3"/>
      <c r="U816" s="3"/>
      <c r="V816" s="3"/>
      <c r="W816" s="3"/>
      <c r="X816" s="3"/>
      <c r="Y816" s="3"/>
      <c r="Z816" s="3"/>
    </row>
    <row r="817" spans="11:26" ht="15.75" customHeight="1" x14ac:dyDescent="0.3">
      <c r="K817" s="79"/>
      <c r="L817" s="79"/>
      <c r="M817" s="3"/>
      <c r="N817" s="3"/>
      <c r="O817" s="3"/>
      <c r="P817" s="3"/>
      <c r="Q817" s="6"/>
      <c r="R817" s="3"/>
      <c r="S817" s="3"/>
      <c r="T817" s="3"/>
      <c r="U817" s="3"/>
      <c r="V817" s="3"/>
      <c r="W817" s="3"/>
      <c r="X817" s="3"/>
      <c r="Y817" s="3"/>
      <c r="Z817" s="3"/>
    </row>
    <row r="818" spans="11:26" ht="15.75" customHeight="1" x14ac:dyDescent="0.3">
      <c r="K818" s="79"/>
      <c r="L818" s="79"/>
      <c r="M818" s="3"/>
      <c r="N818" s="3"/>
      <c r="O818" s="3"/>
      <c r="P818" s="3"/>
      <c r="Q818" s="6"/>
      <c r="R818" s="3"/>
      <c r="S818" s="3"/>
      <c r="T818" s="3"/>
      <c r="U818" s="3"/>
      <c r="V818" s="3"/>
      <c r="W818" s="3"/>
      <c r="X818" s="3"/>
      <c r="Y818" s="3"/>
      <c r="Z818" s="3"/>
    </row>
    <row r="819" spans="11:26" ht="15.75" customHeight="1" x14ac:dyDescent="0.3">
      <c r="K819" s="79"/>
      <c r="L819" s="79"/>
      <c r="M819" s="3"/>
      <c r="N819" s="3"/>
      <c r="O819" s="3"/>
      <c r="P819" s="3"/>
      <c r="Q819" s="6"/>
      <c r="R819" s="3"/>
      <c r="S819" s="3"/>
      <c r="T819" s="3"/>
      <c r="U819" s="3"/>
      <c r="V819" s="3"/>
      <c r="W819" s="3"/>
      <c r="X819" s="3"/>
      <c r="Y819" s="3"/>
      <c r="Z819" s="3"/>
    </row>
    <row r="820" spans="11:26" ht="15.75" customHeight="1" x14ac:dyDescent="0.3">
      <c r="K820" s="79"/>
      <c r="L820" s="79"/>
      <c r="M820" s="3"/>
      <c r="N820" s="3"/>
      <c r="O820" s="3"/>
      <c r="P820" s="3"/>
      <c r="Q820" s="6"/>
      <c r="R820" s="3"/>
      <c r="S820" s="3"/>
      <c r="T820" s="3"/>
      <c r="U820" s="3"/>
      <c r="V820" s="3"/>
      <c r="W820" s="3"/>
      <c r="X820" s="3"/>
      <c r="Y820" s="3"/>
      <c r="Z820" s="3"/>
    </row>
    <row r="821" spans="11:26" ht="15.75" customHeight="1" x14ac:dyDescent="0.3">
      <c r="K821" s="79"/>
      <c r="L821" s="79"/>
      <c r="M821" s="3"/>
      <c r="N821" s="3"/>
      <c r="O821" s="3"/>
      <c r="P821" s="3"/>
      <c r="Q821" s="6"/>
      <c r="R821" s="3"/>
      <c r="S821" s="3"/>
      <c r="T821" s="3"/>
      <c r="U821" s="3"/>
      <c r="V821" s="3"/>
      <c r="W821" s="3"/>
      <c r="X821" s="3"/>
      <c r="Y821" s="3"/>
      <c r="Z821" s="3"/>
    </row>
    <row r="822" spans="11:26" ht="15.75" customHeight="1" x14ac:dyDescent="0.3">
      <c r="K822" s="79"/>
      <c r="L822" s="79"/>
      <c r="M822" s="3"/>
      <c r="N822" s="3"/>
      <c r="O822" s="3"/>
      <c r="P822" s="3"/>
      <c r="Q822" s="6"/>
      <c r="R822" s="3"/>
      <c r="S822" s="3"/>
      <c r="T822" s="3"/>
      <c r="U822" s="3"/>
      <c r="V822" s="3"/>
      <c r="W822" s="3"/>
      <c r="X822" s="3"/>
      <c r="Y822" s="3"/>
      <c r="Z822" s="3"/>
    </row>
    <row r="823" spans="11:26" ht="15.75" customHeight="1" x14ac:dyDescent="0.3">
      <c r="K823" s="79"/>
      <c r="L823" s="79"/>
      <c r="M823" s="3"/>
      <c r="N823" s="3"/>
      <c r="O823" s="3"/>
      <c r="P823" s="3"/>
      <c r="Q823" s="6"/>
      <c r="R823" s="3"/>
      <c r="S823" s="3"/>
      <c r="T823" s="3"/>
      <c r="U823" s="3"/>
      <c r="V823" s="3"/>
      <c r="W823" s="3"/>
      <c r="X823" s="3"/>
      <c r="Y823" s="3"/>
      <c r="Z823" s="3"/>
    </row>
    <row r="824" spans="11:26" ht="15.75" customHeight="1" x14ac:dyDescent="0.3">
      <c r="K824" s="79"/>
      <c r="L824" s="79"/>
      <c r="M824" s="3"/>
      <c r="N824" s="3"/>
      <c r="O824" s="3"/>
      <c r="P824" s="3"/>
      <c r="Q824" s="6"/>
      <c r="R824" s="3"/>
      <c r="S824" s="3"/>
      <c r="T824" s="3"/>
      <c r="U824" s="3"/>
      <c r="V824" s="3"/>
      <c r="W824" s="3"/>
      <c r="X824" s="3"/>
      <c r="Y824" s="3"/>
      <c r="Z824" s="3"/>
    </row>
    <row r="825" spans="11:26" ht="15.75" customHeight="1" x14ac:dyDescent="0.3">
      <c r="K825" s="79"/>
      <c r="L825" s="79"/>
      <c r="M825" s="3"/>
      <c r="N825" s="3"/>
      <c r="O825" s="3"/>
      <c r="P825" s="3"/>
      <c r="Q825" s="6"/>
      <c r="R825" s="3"/>
      <c r="S825" s="3"/>
      <c r="T825" s="3"/>
      <c r="U825" s="3"/>
      <c r="V825" s="3"/>
      <c r="W825" s="3"/>
      <c r="X825" s="3"/>
      <c r="Y825" s="3"/>
      <c r="Z825" s="3"/>
    </row>
    <row r="826" spans="11:26" ht="15.75" customHeight="1" x14ac:dyDescent="0.3">
      <c r="K826" s="79"/>
      <c r="L826" s="79"/>
      <c r="M826" s="3"/>
      <c r="N826" s="3"/>
      <c r="O826" s="3"/>
      <c r="P826" s="3"/>
      <c r="Q826" s="6"/>
      <c r="R826" s="3"/>
      <c r="S826" s="3"/>
      <c r="T826" s="3"/>
      <c r="U826" s="3"/>
      <c r="V826" s="3"/>
      <c r="W826" s="3"/>
      <c r="X826" s="3"/>
      <c r="Y826" s="3"/>
      <c r="Z826" s="3"/>
    </row>
    <row r="827" spans="11:26" ht="15.75" customHeight="1" x14ac:dyDescent="0.3">
      <c r="K827" s="79"/>
      <c r="L827" s="79"/>
      <c r="M827" s="3"/>
      <c r="N827" s="3"/>
      <c r="O827" s="3"/>
      <c r="P827" s="3"/>
      <c r="Q827" s="6"/>
      <c r="R827" s="3"/>
      <c r="S827" s="3"/>
      <c r="T827" s="3"/>
      <c r="U827" s="3"/>
      <c r="V827" s="3"/>
      <c r="W827" s="3"/>
      <c r="X827" s="3"/>
      <c r="Y827" s="3"/>
      <c r="Z827" s="3"/>
    </row>
    <row r="828" spans="11:26" ht="15.75" customHeight="1" x14ac:dyDescent="0.3">
      <c r="K828" s="79"/>
      <c r="L828" s="79"/>
      <c r="M828" s="3"/>
      <c r="N828" s="3"/>
      <c r="O828" s="3"/>
      <c r="P828" s="3"/>
      <c r="Q828" s="6"/>
      <c r="R828" s="3"/>
      <c r="S828" s="3"/>
      <c r="T828" s="3"/>
      <c r="U828" s="3"/>
      <c r="V828" s="3"/>
      <c r="W828" s="3"/>
      <c r="X828" s="3"/>
      <c r="Y828" s="3"/>
      <c r="Z828" s="3"/>
    </row>
    <row r="829" spans="11:26" ht="15.75" customHeight="1" x14ac:dyDescent="0.3">
      <c r="K829" s="79"/>
      <c r="L829" s="79"/>
      <c r="M829" s="3"/>
      <c r="N829" s="3"/>
      <c r="O829" s="3"/>
      <c r="P829" s="3"/>
      <c r="Q829" s="6"/>
      <c r="R829" s="3"/>
      <c r="S829" s="3"/>
      <c r="T829" s="3"/>
      <c r="U829" s="3"/>
      <c r="V829" s="3"/>
      <c r="W829" s="3"/>
      <c r="X829" s="3"/>
      <c r="Y829" s="3"/>
      <c r="Z829" s="3"/>
    </row>
    <row r="830" spans="11:26" ht="15.75" customHeight="1" x14ac:dyDescent="0.3">
      <c r="K830" s="79"/>
      <c r="L830" s="79"/>
      <c r="M830" s="3"/>
      <c r="N830" s="3"/>
      <c r="O830" s="3"/>
      <c r="P830" s="3"/>
      <c r="Q830" s="6"/>
      <c r="R830" s="3"/>
      <c r="S830" s="3"/>
      <c r="T830" s="3"/>
      <c r="U830" s="3"/>
      <c r="V830" s="3"/>
      <c r="W830" s="3"/>
      <c r="X830" s="3"/>
      <c r="Y830" s="3"/>
      <c r="Z830" s="3"/>
    </row>
    <row r="831" spans="11:26" ht="15.75" customHeight="1" x14ac:dyDescent="0.3">
      <c r="K831" s="79"/>
      <c r="L831" s="79"/>
      <c r="M831" s="3"/>
      <c r="N831" s="3"/>
      <c r="O831" s="3"/>
      <c r="P831" s="3"/>
      <c r="Q831" s="6"/>
      <c r="R831" s="3"/>
      <c r="S831" s="3"/>
      <c r="T831" s="3"/>
      <c r="U831" s="3"/>
      <c r="V831" s="3"/>
      <c r="W831" s="3"/>
      <c r="X831" s="3"/>
      <c r="Y831" s="3"/>
      <c r="Z831" s="3"/>
    </row>
    <row r="832" spans="11:26" ht="15.75" customHeight="1" x14ac:dyDescent="0.3">
      <c r="K832" s="79"/>
      <c r="L832" s="79"/>
      <c r="M832" s="3"/>
      <c r="N832" s="3"/>
      <c r="O832" s="3"/>
      <c r="P832" s="3"/>
      <c r="Q832" s="6"/>
      <c r="R832" s="3"/>
      <c r="S832" s="3"/>
      <c r="T832" s="3"/>
      <c r="U832" s="3"/>
      <c r="V832" s="3"/>
      <c r="W832" s="3"/>
      <c r="X832" s="3"/>
      <c r="Y832" s="3"/>
      <c r="Z832" s="3"/>
    </row>
    <row r="833" spans="11:26" ht="15.75" customHeight="1" x14ac:dyDescent="0.3">
      <c r="K833" s="79"/>
      <c r="L833" s="79"/>
      <c r="M833" s="3"/>
      <c r="N833" s="3"/>
      <c r="O833" s="3"/>
      <c r="P833" s="3"/>
      <c r="Q833" s="6"/>
      <c r="R833" s="3"/>
      <c r="S833" s="3"/>
      <c r="T833" s="3"/>
      <c r="U833" s="3"/>
      <c r="V833" s="3"/>
      <c r="W833" s="3"/>
      <c r="X833" s="3"/>
      <c r="Y833" s="3"/>
      <c r="Z833" s="3"/>
    </row>
    <row r="834" spans="11:26" ht="15.75" customHeight="1" x14ac:dyDescent="0.3">
      <c r="K834" s="79"/>
      <c r="L834" s="79"/>
      <c r="M834" s="3"/>
      <c r="N834" s="3"/>
      <c r="O834" s="3"/>
      <c r="P834" s="3"/>
      <c r="Q834" s="6"/>
      <c r="R834" s="3"/>
      <c r="S834" s="3"/>
      <c r="T834" s="3"/>
      <c r="U834" s="3"/>
      <c r="V834" s="3"/>
      <c r="W834" s="3"/>
      <c r="X834" s="3"/>
      <c r="Y834" s="3"/>
      <c r="Z834" s="3"/>
    </row>
    <row r="835" spans="11:26" ht="15.75" customHeight="1" x14ac:dyDescent="0.3">
      <c r="K835" s="79"/>
      <c r="L835" s="79"/>
      <c r="M835" s="3"/>
      <c r="N835" s="3"/>
      <c r="O835" s="3"/>
      <c r="P835" s="3"/>
      <c r="Q835" s="6"/>
      <c r="R835" s="3"/>
      <c r="S835" s="3"/>
      <c r="T835" s="3"/>
      <c r="U835" s="3"/>
      <c r="V835" s="3"/>
      <c r="W835" s="3"/>
      <c r="X835" s="3"/>
      <c r="Y835" s="3"/>
      <c r="Z835" s="3"/>
    </row>
    <row r="836" spans="11:26" ht="15.75" customHeight="1" x14ac:dyDescent="0.3">
      <c r="K836" s="79"/>
      <c r="L836" s="79"/>
      <c r="M836" s="3"/>
      <c r="N836" s="3"/>
      <c r="O836" s="3"/>
      <c r="P836" s="3"/>
      <c r="Q836" s="6"/>
      <c r="R836" s="3"/>
      <c r="S836" s="3"/>
      <c r="T836" s="3"/>
      <c r="U836" s="3"/>
      <c r="V836" s="3"/>
      <c r="W836" s="3"/>
      <c r="X836" s="3"/>
      <c r="Y836" s="3"/>
      <c r="Z836" s="3"/>
    </row>
    <row r="837" spans="11:26" ht="15.75" customHeight="1" x14ac:dyDescent="0.3">
      <c r="K837" s="79"/>
      <c r="L837" s="79"/>
      <c r="M837" s="3"/>
      <c r="N837" s="3"/>
      <c r="O837" s="3"/>
      <c r="P837" s="3"/>
      <c r="Q837" s="6"/>
      <c r="R837" s="3"/>
      <c r="S837" s="3"/>
      <c r="T837" s="3"/>
      <c r="U837" s="3"/>
      <c r="V837" s="3"/>
      <c r="W837" s="3"/>
      <c r="X837" s="3"/>
      <c r="Y837" s="3"/>
      <c r="Z837" s="3"/>
    </row>
    <row r="838" spans="11:26" ht="15.75" customHeight="1" x14ac:dyDescent="0.3">
      <c r="K838" s="79"/>
      <c r="L838" s="79"/>
      <c r="M838" s="3"/>
      <c r="N838" s="3"/>
      <c r="O838" s="3"/>
      <c r="P838" s="3"/>
      <c r="Q838" s="6"/>
      <c r="R838" s="3"/>
      <c r="S838" s="3"/>
      <c r="T838" s="3"/>
      <c r="U838" s="3"/>
      <c r="V838" s="3"/>
      <c r="W838" s="3"/>
      <c r="X838" s="3"/>
      <c r="Y838" s="3"/>
      <c r="Z838" s="3"/>
    </row>
    <row r="839" spans="11:26" ht="15.75" customHeight="1" x14ac:dyDescent="0.3">
      <c r="K839" s="79"/>
      <c r="L839" s="79"/>
      <c r="M839" s="3"/>
      <c r="N839" s="3"/>
      <c r="O839" s="3"/>
      <c r="P839" s="3"/>
      <c r="Q839" s="6"/>
      <c r="R839" s="3"/>
      <c r="S839" s="3"/>
      <c r="T839" s="3"/>
      <c r="U839" s="3"/>
      <c r="V839" s="3"/>
      <c r="W839" s="3"/>
      <c r="X839" s="3"/>
      <c r="Y839" s="3"/>
      <c r="Z839" s="3"/>
    </row>
    <row r="840" spans="11:26" ht="15.75" customHeight="1" x14ac:dyDescent="0.3">
      <c r="K840" s="79"/>
      <c r="L840" s="79"/>
      <c r="M840" s="3"/>
      <c r="N840" s="3"/>
      <c r="O840" s="3"/>
      <c r="P840" s="3"/>
      <c r="Q840" s="6"/>
      <c r="R840" s="3"/>
      <c r="S840" s="3"/>
      <c r="T840" s="3"/>
      <c r="U840" s="3"/>
      <c r="V840" s="3"/>
      <c r="W840" s="3"/>
      <c r="X840" s="3"/>
      <c r="Y840" s="3"/>
      <c r="Z840" s="3"/>
    </row>
    <row r="841" spans="11:26" ht="15.75" customHeight="1" x14ac:dyDescent="0.3">
      <c r="K841" s="79"/>
      <c r="L841" s="79"/>
      <c r="M841" s="3"/>
      <c r="N841" s="3"/>
      <c r="O841" s="3"/>
      <c r="P841" s="3"/>
      <c r="Q841" s="6"/>
      <c r="R841" s="3"/>
      <c r="S841" s="3"/>
      <c r="T841" s="3"/>
      <c r="U841" s="3"/>
      <c r="V841" s="3"/>
      <c r="W841" s="3"/>
      <c r="X841" s="3"/>
      <c r="Y841" s="3"/>
      <c r="Z841" s="3"/>
    </row>
    <row r="842" spans="11:26" ht="15.75" customHeight="1" x14ac:dyDescent="0.3">
      <c r="K842" s="79"/>
      <c r="L842" s="79"/>
      <c r="M842" s="3"/>
      <c r="N842" s="3"/>
      <c r="O842" s="3"/>
      <c r="P842" s="3"/>
      <c r="Q842" s="6"/>
      <c r="R842" s="3"/>
      <c r="S842" s="3"/>
      <c r="T842" s="3"/>
      <c r="U842" s="3"/>
      <c r="V842" s="3"/>
      <c r="W842" s="3"/>
      <c r="X842" s="3"/>
      <c r="Y842" s="3"/>
      <c r="Z842" s="3"/>
    </row>
    <row r="843" spans="11:26" ht="15.75" customHeight="1" x14ac:dyDescent="0.3">
      <c r="K843" s="79"/>
      <c r="L843" s="79"/>
      <c r="M843" s="3"/>
      <c r="N843" s="3"/>
      <c r="O843" s="3"/>
      <c r="P843" s="3"/>
      <c r="Q843" s="6"/>
      <c r="R843" s="3"/>
      <c r="S843" s="3"/>
      <c r="T843" s="3"/>
      <c r="U843" s="3"/>
      <c r="V843" s="3"/>
      <c r="W843" s="3"/>
      <c r="X843" s="3"/>
      <c r="Y843" s="3"/>
      <c r="Z843" s="3"/>
    </row>
    <row r="844" spans="11:26" ht="15.75" customHeight="1" x14ac:dyDescent="0.3">
      <c r="K844" s="79"/>
      <c r="L844" s="79"/>
      <c r="M844" s="3"/>
      <c r="N844" s="3"/>
      <c r="O844" s="3"/>
      <c r="P844" s="3"/>
      <c r="Q844" s="6"/>
      <c r="R844" s="3"/>
      <c r="S844" s="3"/>
      <c r="T844" s="3"/>
      <c r="U844" s="3"/>
      <c r="V844" s="3"/>
      <c r="W844" s="3"/>
      <c r="X844" s="3"/>
      <c r="Y844" s="3"/>
      <c r="Z844" s="3"/>
    </row>
    <row r="845" spans="11:26" ht="15.75" customHeight="1" x14ac:dyDescent="0.3">
      <c r="K845" s="79"/>
      <c r="L845" s="79"/>
      <c r="M845" s="3"/>
      <c r="N845" s="3"/>
      <c r="O845" s="3"/>
      <c r="P845" s="3"/>
      <c r="Q845" s="6"/>
      <c r="R845" s="3"/>
      <c r="S845" s="3"/>
      <c r="T845" s="3"/>
      <c r="U845" s="3"/>
      <c r="V845" s="3"/>
      <c r="W845" s="3"/>
      <c r="X845" s="3"/>
      <c r="Y845" s="3"/>
      <c r="Z845" s="3"/>
    </row>
    <row r="846" spans="11:26" ht="15.75" customHeight="1" x14ac:dyDescent="0.3">
      <c r="K846" s="79"/>
      <c r="L846" s="79"/>
      <c r="M846" s="3"/>
      <c r="N846" s="3"/>
      <c r="O846" s="3"/>
      <c r="P846" s="3"/>
      <c r="Q846" s="6"/>
      <c r="R846" s="3"/>
      <c r="S846" s="3"/>
      <c r="T846" s="3"/>
      <c r="U846" s="3"/>
      <c r="V846" s="3"/>
      <c r="W846" s="3"/>
      <c r="X846" s="3"/>
      <c r="Y846" s="3"/>
      <c r="Z846" s="3"/>
    </row>
    <row r="847" spans="11:26" ht="15.75" customHeight="1" x14ac:dyDescent="0.3">
      <c r="K847" s="79"/>
      <c r="L847" s="79"/>
      <c r="M847" s="3"/>
      <c r="N847" s="3"/>
      <c r="O847" s="3"/>
      <c r="P847" s="3"/>
      <c r="Q847" s="6"/>
      <c r="R847" s="3"/>
      <c r="S847" s="3"/>
      <c r="T847" s="3"/>
      <c r="U847" s="3"/>
      <c r="V847" s="3"/>
      <c r="W847" s="3"/>
      <c r="X847" s="3"/>
      <c r="Y847" s="3"/>
      <c r="Z847" s="3"/>
    </row>
    <row r="848" spans="11:26" ht="15.75" customHeight="1" x14ac:dyDescent="0.3">
      <c r="K848" s="79"/>
      <c r="L848" s="79"/>
      <c r="M848" s="3"/>
      <c r="N848" s="3"/>
      <c r="O848" s="3"/>
      <c r="P848" s="3"/>
      <c r="Q848" s="6"/>
      <c r="R848" s="3"/>
      <c r="S848" s="3"/>
      <c r="T848" s="3"/>
      <c r="U848" s="3"/>
      <c r="V848" s="3"/>
      <c r="W848" s="3"/>
      <c r="X848" s="3"/>
      <c r="Y848" s="3"/>
      <c r="Z848" s="3"/>
    </row>
    <row r="849" spans="11:26" ht="15.75" customHeight="1" x14ac:dyDescent="0.3">
      <c r="K849" s="79"/>
      <c r="L849" s="79"/>
      <c r="M849" s="3"/>
      <c r="N849" s="3"/>
      <c r="O849" s="3"/>
      <c r="P849" s="3"/>
      <c r="Q849" s="6"/>
      <c r="R849" s="3"/>
      <c r="S849" s="3"/>
      <c r="T849" s="3"/>
      <c r="U849" s="3"/>
      <c r="V849" s="3"/>
      <c r="W849" s="3"/>
      <c r="X849" s="3"/>
      <c r="Y849" s="3"/>
      <c r="Z849" s="3"/>
    </row>
    <row r="850" spans="11:26" ht="15.75" customHeight="1" x14ac:dyDescent="0.3">
      <c r="K850" s="79"/>
      <c r="L850" s="79"/>
      <c r="M850" s="3"/>
      <c r="N850" s="3"/>
      <c r="O850" s="3"/>
      <c r="P850" s="3"/>
      <c r="Q850" s="6"/>
      <c r="R850" s="3"/>
      <c r="S850" s="3"/>
      <c r="T850" s="3"/>
      <c r="U850" s="3"/>
      <c r="V850" s="3"/>
      <c r="W850" s="3"/>
      <c r="X850" s="3"/>
      <c r="Y850" s="3"/>
      <c r="Z850" s="3"/>
    </row>
    <row r="851" spans="11:26" ht="15.75" customHeight="1" x14ac:dyDescent="0.3">
      <c r="K851" s="79"/>
      <c r="L851" s="79"/>
      <c r="M851" s="3"/>
      <c r="N851" s="3"/>
      <c r="O851" s="3"/>
      <c r="P851" s="3"/>
      <c r="Q851" s="6"/>
      <c r="R851" s="3"/>
      <c r="S851" s="3"/>
      <c r="T851" s="3"/>
      <c r="U851" s="3"/>
      <c r="V851" s="3"/>
      <c r="W851" s="3"/>
      <c r="X851" s="3"/>
      <c r="Y851" s="3"/>
      <c r="Z851" s="3"/>
    </row>
    <row r="852" spans="11:26" ht="15.75" customHeight="1" x14ac:dyDescent="0.3">
      <c r="K852" s="79"/>
      <c r="L852" s="79"/>
      <c r="M852" s="3"/>
      <c r="N852" s="3"/>
      <c r="O852" s="3"/>
      <c r="P852" s="3"/>
      <c r="Q852" s="6"/>
      <c r="R852" s="3"/>
      <c r="S852" s="3"/>
      <c r="T852" s="3"/>
      <c r="U852" s="3"/>
      <c r="V852" s="3"/>
      <c r="W852" s="3"/>
      <c r="X852" s="3"/>
      <c r="Y852" s="3"/>
      <c r="Z852" s="3"/>
    </row>
    <row r="853" spans="11:26" ht="15.75" customHeight="1" x14ac:dyDescent="0.3">
      <c r="K853" s="79"/>
      <c r="L853" s="79"/>
      <c r="M853" s="3"/>
      <c r="N853" s="3"/>
      <c r="O853" s="3"/>
      <c r="P853" s="3"/>
      <c r="Q853" s="6"/>
      <c r="R853" s="3"/>
      <c r="S853" s="3"/>
      <c r="T853" s="3"/>
      <c r="U853" s="3"/>
      <c r="V853" s="3"/>
      <c r="W853" s="3"/>
      <c r="X853" s="3"/>
      <c r="Y853" s="3"/>
      <c r="Z853" s="3"/>
    </row>
    <row r="854" spans="11:26" ht="15.75" customHeight="1" x14ac:dyDescent="0.3">
      <c r="K854" s="79"/>
      <c r="L854" s="79"/>
      <c r="M854" s="3"/>
      <c r="N854" s="3"/>
      <c r="O854" s="3"/>
      <c r="P854" s="3"/>
      <c r="Q854" s="6"/>
      <c r="R854" s="3"/>
      <c r="S854" s="3"/>
      <c r="T854" s="3"/>
      <c r="U854" s="3"/>
      <c r="V854" s="3"/>
      <c r="W854" s="3"/>
      <c r="X854" s="3"/>
      <c r="Y854" s="3"/>
      <c r="Z854" s="3"/>
    </row>
    <row r="855" spans="11:26" ht="15.75" customHeight="1" x14ac:dyDescent="0.3">
      <c r="K855" s="79"/>
      <c r="L855" s="79"/>
      <c r="M855" s="3"/>
      <c r="N855" s="3"/>
      <c r="O855" s="3"/>
      <c r="P855" s="3"/>
      <c r="Q855" s="6"/>
      <c r="R855" s="3"/>
      <c r="S855" s="3"/>
      <c r="T855" s="3"/>
      <c r="U855" s="3"/>
      <c r="V855" s="3"/>
      <c r="W855" s="3"/>
      <c r="X855" s="3"/>
      <c r="Y855" s="3"/>
      <c r="Z855" s="3"/>
    </row>
    <row r="856" spans="11:26" ht="15.75" customHeight="1" x14ac:dyDescent="0.3">
      <c r="K856" s="79"/>
      <c r="L856" s="79"/>
      <c r="M856" s="3"/>
      <c r="N856" s="3"/>
      <c r="O856" s="3"/>
      <c r="P856" s="3"/>
      <c r="Q856" s="6"/>
      <c r="R856" s="3"/>
      <c r="S856" s="3"/>
      <c r="T856" s="3"/>
      <c r="U856" s="3"/>
      <c r="V856" s="3"/>
      <c r="W856" s="3"/>
      <c r="X856" s="3"/>
      <c r="Y856" s="3"/>
      <c r="Z856" s="3"/>
    </row>
    <row r="857" spans="11:26" ht="15.75" customHeight="1" x14ac:dyDescent="0.3">
      <c r="K857" s="79"/>
      <c r="L857" s="79"/>
      <c r="M857" s="3"/>
      <c r="N857" s="3"/>
      <c r="O857" s="3"/>
      <c r="P857" s="3"/>
      <c r="Q857" s="6"/>
      <c r="R857" s="3"/>
      <c r="S857" s="3"/>
      <c r="T857" s="3"/>
      <c r="U857" s="3"/>
      <c r="V857" s="3"/>
      <c r="W857" s="3"/>
      <c r="X857" s="3"/>
      <c r="Y857" s="3"/>
      <c r="Z857" s="3"/>
    </row>
    <row r="858" spans="11:26" ht="15.75" customHeight="1" x14ac:dyDescent="0.3">
      <c r="K858" s="79"/>
      <c r="L858" s="79"/>
      <c r="M858" s="3"/>
      <c r="N858" s="3"/>
      <c r="O858" s="3"/>
      <c r="P858" s="3"/>
      <c r="Q858" s="6"/>
      <c r="R858" s="3"/>
      <c r="S858" s="3"/>
      <c r="T858" s="3"/>
      <c r="U858" s="3"/>
      <c r="V858" s="3"/>
      <c r="W858" s="3"/>
      <c r="X858" s="3"/>
      <c r="Y858" s="3"/>
      <c r="Z858" s="3"/>
    </row>
    <row r="859" spans="11:26" ht="15.75" customHeight="1" x14ac:dyDescent="0.3">
      <c r="K859" s="79"/>
      <c r="L859" s="79"/>
      <c r="M859" s="3"/>
      <c r="N859" s="3"/>
      <c r="O859" s="3"/>
      <c r="P859" s="3"/>
      <c r="Q859" s="6"/>
      <c r="R859" s="3"/>
      <c r="S859" s="3"/>
      <c r="T859" s="3"/>
      <c r="U859" s="3"/>
      <c r="V859" s="3"/>
      <c r="W859" s="3"/>
      <c r="X859" s="3"/>
      <c r="Y859" s="3"/>
      <c r="Z859" s="3"/>
    </row>
    <row r="860" spans="11:26" ht="15.75" customHeight="1" x14ac:dyDescent="0.3">
      <c r="K860" s="79"/>
      <c r="L860" s="79"/>
      <c r="M860" s="3"/>
      <c r="N860" s="3"/>
      <c r="O860" s="3"/>
      <c r="P860" s="3"/>
      <c r="Q860" s="6"/>
      <c r="R860" s="3"/>
      <c r="S860" s="3"/>
      <c r="T860" s="3"/>
      <c r="U860" s="3"/>
      <c r="V860" s="3"/>
      <c r="W860" s="3"/>
      <c r="X860" s="3"/>
      <c r="Y860" s="3"/>
      <c r="Z860" s="3"/>
    </row>
    <row r="861" spans="11:26" ht="15.75" customHeight="1" x14ac:dyDescent="0.3">
      <c r="K861" s="79"/>
      <c r="L861" s="79"/>
      <c r="M861" s="3"/>
      <c r="N861" s="3"/>
      <c r="O861" s="3"/>
      <c r="P861" s="3"/>
      <c r="Q861" s="6"/>
      <c r="R861" s="3"/>
      <c r="S861" s="3"/>
      <c r="T861" s="3"/>
      <c r="U861" s="3"/>
      <c r="V861" s="3"/>
      <c r="W861" s="3"/>
      <c r="X861" s="3"/>
      <c r="Y861" s="3"/>
      <c r="Z861" s="3"/>
    </row>
    <row r="862" spans="11:26" ht="15.75" customHeight="1" x14ac:dyDescent="0.3">
      <c r="K862" s="79"/>
      <c r="L862" s="79"/>
      <c r="M862" s="3"/>
      <c r="N862" s="3"/>
      <c r="O862" s="3"/>
      <c r="P862" s="3"/>
      <c r="Q862" s="6"/>
      <c r="R862" s="3"/>
      <c r="S862" s="3"/>
      <c r="T862" s="3"/>
      <c r="U862" s="3"/>
      <c r="V862" s="3"/>
      <c r="W862" s="3"/>
      <c r="X862" s="3"/>
      <c r="Y862" s="3"/>
      <c r="Z862" s="3"/>
    </row>
    <row r="863" spans="11:26" ht="15.75" customHeight="1" x14ac:dyDescent="0.3">
      <c r="K863" s="79"/>
      <c r="L863" s="79"/>
      <c r="M863" s="3"/>
      <c r="N863" s="3"/>
      <c r="O863" s="3"/>
      <c r="P863" s="3"/>
      <c r="Q863" s="6"/>
      <c r="R863" s="3"/>
      <c r="S863" s="3"/>
      <c r="T863" s="3"/>
      <c r="U863" s="3"/>
      <c r="V863" s="3"/>
      <c r="W863" s="3"/>
      <c r="X863" s="3"/>
      <c r="Y863" s="3"/>
      <c r="Z863" s="3"/>
    </row>
    <row r="864" spans="11:26" ht="15.75" customHeight="1" x14ac:dyDescent="0.3">
      <c r="K864" s="79"/>
      <c r="L864" s="79"/>
      <c r="M864" s="3"/>
      <c r="N864" s="3"/>
      <c r="O864" s="3"/>
      <c r="P864" s="3"/>
      <c r="Q864" s="6"/>
      <c r="R864" s="3"/>
      <c r="S864" s="3"/>
      <c r="T864" s="3"/>
      <c r="U864" s="3"/>
      <c r="V864" s="3"/>
      <c r="W864" s="3"/>
      <c r="X864" s="3"/>
      <c r="Y864" s="3"/>
      <c r="Z864" s="3"/>
    </row>
    <row r="865" spans="11:26" ht="15.75" customHeight="1" x14ac:dyDescent="0.3">
      <c r="K865" s="79"/>
      <c r="L865" s="79"/>
      <c r="M865" s="3"/>
      <c r="N865" s="3"/>
      <c r="O865" s="3"/>
      <c r="P865" s="3"/>
      <c r="Q865" s="6"/>
      <c r="R865" s="3"/>
      <c r="S865" s="3"/>
      <c r="T865" s="3"/>
      <c r="U865" s="3"/>
      <c r="V865" s="3"/>
      <c r="W865" s="3"/>
      <c r="X865" s="3"/>
      <c r="Y865" s="3"/>
      <c r="Z865" s="3"/>
    </row>
    <row r="866" spans="11:26" ht="15.75" customHeight="1" x14ac:dyDescent="0.3">
      <c r="K866" s="79"/>
      <c r="L866" s="79"/>
      <c r="M866" s="3"/>
      <c r="N866" s="3"/>
      <c r="O866" s="3"/>
      <c r="P866" s="3"/>
      <c r="Q866" s="6"/>
      <c r="R866" s="3"/>
      <c r="S866" s="3"/>
      <c r="T866" s="3"/>
      <c r="U866" s="3"/>
      <c r="V866" s="3"/>
      <c r="W866" s="3"/>
      <c r="X866" s="3"/>
      <c r="Y866" s="3"/>
      <c r="Z866" s="3"/>
    </row>
    <row r="867" spans="11:26" ht="15.75" customHeight="1" x14ac:dyDescent="0.3">
      <c r="K867" s="79"/>
      <c r="L867" s="79"/>
      <c r="M867" s="3"/>
      <c r="N867" s="3"/>
      <c r="O867" s="3"/>
      <c r="P867" s="3"/>
      <c r="Q867" s="6"/>
      <c r="R867" s="3"/>
      <c r="S867" s="3"/>
      <c r="T867" s="3"/>
      <c r="U867" s="3"/>
      <c r="V867" s="3"/>
      <c r="W867" s="3"/>
      <c r="X867" s="3"/>
      <c r="Y867" s="3"/>
      <c r="Z867" s="3"/>
    </row>
    <row r="868" spans="11:26" ht="15.75" customHeight="1" x14ac:dyDescent="0.3">
      <c r="K868" s="79"/>
      <c r="L868" s="79"/>
      <c r="M868" s="3"/>
      <c r="N868" s="3"/>
      <c r="O868" s="3"/>
      <c r="P868" s="3"/>
      <c r="Q868" s="6"/>
      <c r="R868" s="3"/>
      <c r="S868" s="3"/>
      <c r="T868" s="3"/>
      <c r="U868" s="3"/>
      <c r="V868" s="3"/>
      <c r="W868" s="3"/>
      <c r="X868" s="3"/>
      <c r="Y868" s="3"/>
      <c r="Z868" s="3"/>
    </row>
    <row r="869" spans="11:26" ht="15.75" customHeight="1" x14ac:dyDescent="0.3">
      <c r="K869" s="79"/>
      <c r="L869" s="79"/>
      <c r="M869" s="3"/>
      <c r="N869" s="3"/>
      <c r="O869" s="3"/>
      <c r="P869" s="3"/>
      <c r="Q869" s="6"/>
      <c r="R869" s="3"/>
      <c r="S869" s="3"/>
      <c r="T869" s="3"/>
      <c r="U869" s="3"/>
      <c r="V869" s="3"/>
      <c r="W869" s="3"/>
      <c r="X869" s="3"/>
      <c r="Y869" s="3"/>
      <c r="Z869" s="3"/>
    </row>
    <row r="870" spans="11:26" ht="15.75" customHeight="1" x14ac:dyDescent="0.3">
      <c r="K870" s="79"/>
      <c r="L870" s="79"/>
      <c r="M870" s="3"/>
      <c r="N870" s="3"/>
      <c r="O870" s="3"/>
      <c r="P870" s="3"/>
      <c r="Q870" s="6"/>
      <c r="R870" s="3"/>
      <c r="S870" s="3"/>
      <c r="T870" s="3"/>
      <c r="U870" s="3"/>
      <c r="V870" s="3"/>
      <c r="W870" s="3"/>
      <c r="X870" s="3"/>
      <c r="Y870" s="3"/>
      <c r="Z870" s="3"/>
    </row>
    <row r="871" spans="11:26" ht="15.75" customHeight="1" x14ac:dyDescent="0.3">
      <c r="K871" s="79"/>
      <c r="L871" s="79"/>
      <c r="M871" s="3"/>
      <c r="N871" s="3"/>
      <c r="O871" s="3"/>
      <c r="P871" s="3"/>
      <c r="Q871" s="6"/>
      <c r="R871" s="3"/>
      <c r="S871" s="3"/>
      <c r="T871" s="3"/>
      <c r="U871" s="3"/>
      <c r="V871" s="3"/>
      <c r="W871" s="3"/>
      <c r="X871" s="3"/>
      <c r="Y871" s="3"/>
      <c r="Z871" s="3"/>
    </row>
    <row r="872" spans="11:26" ht="15.75" customHeight="1" x14ac:dyDescent="0.3">
      <c r="K872" s="79"/>
      <c r="L872" s="79"/>
      <c r="M872" s="3"/>
      <c r="N872" s="3"/>
      <c r="O872" s="3"/>
      <c r="P872" s="3"/>
      <c r="Q872" s="6"/>
      <c r="R872" s="3"/>
      <c r="S872" s="3"/>
      <c r="T872" s="3"/>
      <c r="U872" s="3"/>
      <c r="V872" s="3"/>
      <c r="W872" s="3"/>
      <c r="X872" s="3"/>
      <c r="Y872" s="3"/>
      <c r="Z872" s="3"/>
    </row>
    <row r="873" spans="11:26" ht="15.75" customHeight="1" x14ac:dyDescent="0.3">
      <c r="K873" s="79"/>
      <c r="L873" s="79"/>
      <c r="M873" s="3"/>
      <c r="N873" s="3"/>
      <c r="O873" s="3"/>
      <c r="P873" s="3"/>
      <c r="Q873" s="6"/>
      <c r="R873" s="3"/>
      <c r="S873" s="3"/>
      <c r="T873" s="3"/>
      <c r="U873" s="3"/>
      <c r="V873" s="3"/>
      <c r="W873" s="3"/>
      <c r="X873" s="3"/>
      <c r="Y873" s="3"/>
      <c r="Z873" s="3"/>
    </row>
    <row r="874" spans="11:26" ht="15.75" customHeight="1" x14ac:dyDescent="0.3">
      <c r="K874" s="79"/>
      <c r="L874" s="79"/>
      <c r="M874" s="3"/>
      <c r="N874" s="3"/>
      <c r="O874" s="3"/>
      <c r="P874" s="3"/>
      <c r="Q874" s="6"/>
      <c r="R874" s="3"/>
      <c r="S874" s="3"/>
      <c r="T874" s="3"/>
      <c r="U874" s="3"/>
      <c r="V874" s="3"/>
      <c r="W874" s="3"/>
      <c r="X874" s="3"/>
      <c r="Y874" s="3"/>
      <c r="Z874" s="3"/>
    </row>
    <row r="875" spans="11:26" ht="15.75" customHeight="1" x14ac:dyDescent="0.3">
      <c r="K875" s="79"/>
      <c r="L875" s="79"/>
      <c r="M875" s="3"/>
      <c r="N875" s="3"/>
      <c r="O875" s="3"/>
      <c r="P875" s="3"/>
      <c r="Q875" s="6"/>
      <c r="R875" s="3"/>
      <c r="S875" s="3"/>
      <c r="T875" s="3"/>
      <c r="U875" s="3"/>
      <c r="V875" s="3"/>
      <c r="W875" s="3"/>
      <c r="X875" s="3"/>
      <c r="Y875" s="3"/>
      <c r="Z875" s="3"/>
    </row>
    <row r="876" spans="11:26" ht="15.75" customHeight="1" x14ac:dyDescent="0.3">
      <c r="K876" s="79"/>
      <c r="L876" s="79"/>
      <c r="M876" s="3"/>
      <c r="N876" s="3"/>
      <c r="O876" s="3"/>
      <c r="P876" s="3"/>
      <c r="Q876" s="6"/>
      <c r="R876" s="3"/>
      <c r="S876" s="3"/>
      <c r="T876" s="3"/>
      <c r="U876" s="3"/>
      <c r="V876" s="3"/>
      <c r="W876" s="3"/>
      <c r="X876" s="3"/>
      <c r="Y876" s="3"/>
      <c r="Z876" s="3"/>
    </row>
    <row r="877" spans="11:26" ht="15.75" customHeight="1" x14ac:dyDescent="0.3">
      <c r="K877" s="79"/>
      <c r="L877" s="79"/>
      <c r="M877" s="3"/>
      <c r="N877" s="3"/>
      <c r="O877" s="3"/>
      <c r="P877" s="3"/>
      <c r="Q877" s="6"/>
      <c r="R877" s="3"/>
      <c r="S877" s="3"/>
      <c r="T877" s="3"/>
      <c r="U877" s="3"/>
      <c r="V877" s="3"/>
      <c r="W877" s="3"/>
      <c r="X877" s="3"/>
      <c r="Y877" s="3"/>
      <c r="Z877" s="3"/>
    </row>
    <row r="878" spans="11:26" ht="15.75" customHeight="1" x14ac:dyDescent="0.3">
      <c r="K878" s="79"/>
      <c r="L878" s="79"/>
      <c r="M878" s="3"/>
      <c r="N878" s="3"/>
      <c r="O878" s="3"/>
      <c r="P878" s="3"/>
      <c r="Q878" s="6"/>
      <c r="R878" s="3"/>
      <c r="S878" s="3"/>
      <c r="T878" s="3"/>
      <c r="U878" s="3"/>
      <c r="V878" s="3"/>
      <c r="W878" s="3"/>
      <c r="X878" s="3"/>
      <c r="Y878" s="3"/>
      <c r="Z878" s="3"/>
    </row>
    <row r="879" spans="11:26" ht="15.75" customHeight="1" x14ac:dyDescent="0.3">
      <c r="K879" s="79"/>
      <c r="L879" s="79"/>
      <c r="M879" s="3"/>
      <c r="N879" s="3"/>
      <c r="O879" s="3"/>
      <c r="P879" s="3"/>
      <c r="Q879" s="6"/>
      <c r="R879" s="3"/>
      <c r="S879" s="3"/>
      <c r="T879" s="3"/>
      <c r="U879" s="3"/>
      <c r="V879" s="3"/>
      <c r="W879" s="3"/>
      <c r="X879" s="3"/>
      <c r="Y879" s="3"/>
      <c r="Z879" s="3"/>
    </row>
    <row r="880" spans="11:26" ht="15.75" customHeight="1" x14ac:dyDescent="0.3">
      <c r="K880" s="79"/>
      <c r="L880" s="79"/>
      <c r="M880" s="3"/>
      <c r="N880" s="3"/>
      <c r="O880" s="3"/>
      <c r="P880" s="3"/>
      <c r="Q880" s="6"/>
      <c r="R880" s="3"/>
      <c r="S880" s="3"/>
      <c r="T880" s="3"/>
      <c r="U880" s="3"/>
      <c r="V880" s="3"/>
      <c r="W880" s="3"/>
      <c r="X880" s="3"/>
      <c r="Y880" s="3"/>
      <c r="Z880" s="3"/>
    </row>
    <row r="881" spans="11:26" ht="15.75" customHeight="1" x14ac:dyDescent="0.3">
      <c r="K881" s="79"/>
      <c r="L881" s="79"/>
      <c r="M881" s="3"/>
      <c r="N881" s="3"/>
      <c r="O881" s="3"/>
      <c r="P881" s="3"/>
      <c r="Q881" s="6"/>
      <c r="R881" s="3"/>
      <c r="S881" s="3"/>
      <c r="T881" s="3"/>
      <c r="U881" s="3"/>
      <c r="V881" s="3"/>
      <c r="W881" s="3"/>
      <c r="X881" s="3"/>
      <c r="Y881" s="3"/>
      <c r="Z881" s="3"/>
    </row>
    <row r="882" spans="11:26" ht="15.75" customHeight="1" x14ac:dyDescent="0.3">
      <c r="K882" s="79"/>
      <c r="L882" s="79"/>
      <c r="M882" s="3"/>
      <c r="N882" s="3"/>
      <c r="O882" s="3"/>
      <c r="P882" s="3"/>
      <c r="Q882" s="6"/>
      <c r="R882" s="3"/>
      <c r="S882" s="3"/>
      <c r="T882" s="3"/>
      <c r="U882" s="3"/>
      <c r="V882" s="3"/>
      <c r="W882" s="3"/>
      <c r="X882" s="3"/>
      <c r="Y882" s="3"/>
      <c r="Z882" s="3"/>
    </row>
    <row r="883" spans="11:26" ht="15.75" customHeight="1" x14ac:dyDescent="0.3">
      <c r="K883" s="79"/>
      <c r="L883" s="79"/>
      <c r="M883" s="3"/>
      <c r="N883" s="3"/>
      <c r="O883" s="3"/>
      <c r="P883" s="3"/>
      <c r="Q883" s="6"/>
      <c r="R883" s="3"/>
      <c r="S883" s="3"/>
      <c r="T883" s="3"/>
      <c r="U883" s="3"/>
      <c r="V883" s="3"/>
      <c r="W883" s="3"/>
      <c r="X883" s="3"/>
      <c r="Y883" s="3"/>
      <c r="Z883" s="3"/>
    </row>
    <row r="884" spans="11:26" ht="15.75" customHeight="1" x14ac:dyDescent="0.3">
      <c r="K884" s="79"/>
      <c r="L884" s="79"/>
      <c r="M884" s="3"/>
      <c r="N884" s="3"/>
      <c r="O884" s="3"/>
      <c r="P884" s="3"/>
      <c r="Q884" s="6"/>
      <c r="R884" s="3"/>
      <c r="S884" s="3"/>
      <c r="T884" s="3"/>
      <c r="U884" s="3"/>
      <c r="V884" s="3"/>
      <c r="W884" s="3"/>
      <c r="X884" s="3"/>
      <c r="Y884" s="3"/>
      <c r="Z884" s="3"/>
    </row>
    <row r="885" spans="11:26" ht="15.75" customHeight="1" x14ac:dyDescent="0.3">
      <c r="K885" s="79"/>
      <c r="L885" s="79"/>
      <c r="M885" s="3"/>
      <c r="N885" s="3"/>
      <c r="O885" s="3"/>
      <c r="P885" s="3"/>
      <c r="Q885" s="6"/>
      <c r="R885" s="3"/>
      <c r="S885" s="3"/>
      <c r="T885" s="3"/>
      <c r="U885" s="3"/>
      <c r="V885" s="3"/>
      <c r="W885" s="3"/>
      <c r="X885" s="3"/>
      <c r="Y885" s="3"/>
      <c r="Z885" s="3"/>
    </row>
    <row r="886" spans="11:26" ht="15.75" customHeight="1" x14ac:dyDescent="0.3">
      <c r="K886" s="79"/>
      <c r="L886" s="79"/>
      <c r="M886" s="3"/>
      <c r="N886" s="3"/>
      <c r="O886" s="3"/>
      <c r="P886" s="3"/>
      <c r="Q886" s="6"/>
      <c r="R886" s="3"/>
      <c r="S886" s="3"/>
      <c r="T886" s="3"/>
      <c r="U886" s="3"/>
      <c r="V886" s="3"/>
      <c r="W886" s="3"/>
      <c r="X886" s="3"/>
      <c r="Y886" s="3"/>
      <c r="Z886" s="3"/>
    </row>
    <row r="887" spans="11:26" ht="15.75" customHeight="1" x14ac:dyDescent="0.3">
      <c r="K887" s="79"/>
      <c r="L887" s="79"/>
      <c r="M887" s="3"/>
      <c r="N887" s="3"/>
      <c r="O887" s="3"/>
      <c r="P887" s="3"/>
      <c r="Q887" s="6"/>
      <c r="R887" s="3"/>
      <c r="S887" s="3"/>
      <c r="T887" s="3"/>
      <c r="U887" s="3"/>
      <c r="V887" s="3"/>
      <c r="W887" s="3"/>
      <c r="X887" s="3"/>
      <c r="Y887" s="3"/>
      <c r="Z887" s="3"/>
    </row>
    <row r="888" spans="11:26" ht="15.75" customHeight="1" x14ac:dyDescent="0.3">
      <c r="K888" s="79"/>
      <c r="L888" s="79"/>
      <c r="M888" s="3"/>
      <c r="N888" s="3"/>
      <c r="O888" s="3"/>
      <c r="P888" s="3"/>
      <c r="Q888" s="6"/>
      <c r="R888" s="3"/>
      <c r="S888" s="3"/>
      <c r="T888" s="3"/>
      <c r="U888" s="3"/>
      <c r="V888" s="3"/>
      <c r="W888" s="3"/>
      <c r="X888" s="3"/>
      <c r="Y888" s="3"/>
      <c r="Z888" s="3"/>
    </row>
    <row r="889" spans="11:26" ht="15.75" customHeight="1" x14ac:dyDescent="0.3">
      <c r="K889" s="79"/>
      <c r="L889" s="79"/>
      <c r="M889" s="3"/>
      <c r="N889" s="3"/>
      <c r="O889" s="3"/>
      <c r="P889" s="3"/>
      <c r="Q889" s="6"/>
      <c r="R889" s="3"/>
      <c r="S889" s="3"/>
      <c r="T889" s="3"/>
      <c r="U889" s="3"/>
      <c r="V889" s="3"/>
      <c r="W889" s="3"/>
      <c r="X889" s="3"/>
      <c r="Y889" s="3"/>
      <c r="Z889" s="3"/>
    </row>
    <row r="890" spans="11:26" ht="15.75" customHeight="1" x14ac:dyDescent="0.3">
      <c r="K890" s="79"/>
      <c r="L890" s="79"/>
      <c r="M890" s="3"/>
      <c r="N890" s="3"/>
      <c r="O890" s="3"/>
      <c r="P890" s="3"/>
      <c r="Q890" s="6"/>
      <c r="R890" s="3"/>
      <c r="S890" s="3"/>
      <c r="T890" s="3"/>
      <c r="U890" s="3"/>
      <c r="V890" s="3"/>
      <c r="W890" s="3"/>
      <c r="X890" s="3"/>
      <c r="Y890" s="3"/>
      <c r="Z890" s="3"/>
    </row>
    <row r="891" spans="11:26" ht="15.75" customHeight="1" x14ac:dyDescent="0.3">
      <c r="K891" s="79"/>
      <c r="L891" s="79"/>
      <c r="M891" s="3"/>
      <c r="N891" s="3"/>
      <c r="O891" s="3"/>
      <c r="P891" s="3"/>
      <c r="Q891" s="6"/>
      <c r="R891" s="3"/>
      <c r="S891" s="3"/>
      <c r="T891" s="3"/>
      <c r="U891" s="3"/>
      <c r="V891" s="3"/>
      <c r="W891" s="3"/>
      <c r="X891" s="3"/>
      <c r="Y891" s="3"/>
      <c r="Z891" s="3"/>
    </row>
    <row r="892" spans="11:26" ht="15.75" customHeight="1" x14ac:dyDescent="0.3">
      <c r="K892" s="79"/>
      <c r="L892" s="79"/>
      <c r="M892" s="3"/>
      <c r="N892" s="3"/>
      <c r="O892" s="3"/>
      <c r="P892" s="3"/>
      <c r="Q892" s="6"/>
      <c r="R892" s="3"/>
      <c r="S892" s="3"/>
      <c r="T892" s="3"/>
      <c r="U892" s="3"/>
      <c r="V892" s="3"/>
      <c r="W892" s="3"/>
      <c r="X892" s="3"/>
      <c r="Y892" s="3"/>
      <c r="Z892" s="3"/>
    </row>
    <row r="893" spans="11:26" ht="15.75" customHeight="1" x14ac:dyDescent="0.3">
      <c r="K893" s="79"/>
      <c r="L893" s="79"/>
      <c r="M893" s="3"/>
      <c r="N893" s="3"/>
      <c r="O893" s="3"/>
      <c r="P893" s="3"/>
      <c r="Q893" s="6"/>
      <c r="R893" s="3"/>
      <c r="S893" s="3"/>
      <c r="T893" s="3"/>
      <c r="U893" s="3"/>
      <c r="V893" s="3"/>
      <c r="W893" s="3"/>
      <c r="X893" s="3"/>
      <c r="Y893" s="3"/>
      <c r="Z893" s="3"/>
    </row>
    <row r="894" spans="11:26" ht="15.75" customHeight="1" x14ac:dyDescent="0.3">
      <c r="K894" s="79"/>
      <c r="L894" s="79"/>
      <c r="M894" s="3"/>
      <c r="N894" s="3"/>
      <c r="O894" s="3"/>
      <c r="P894" s="3"/>
      <c r="Q894" s="6"/>
      <c r="R894" s="3"/>
      <c r="S894" s="3"/>
      <c r="T894" s="3"/>
      <c r="U894" s="3"/>
      <c r="V894" s="3"/>
      <c r="W894" s="3"/>
      <c r="X894" s="3"/>
      <c r="Y894" s="3"/>
      <c r="Z894" s="3"/>
    </row>
    <row r="895" spans="11:26" ht="15.75" customHeight="1" x14ac:dyDescent="0.3">
      <c r="K895" s="79"/>
      <c r="L895" s="79"/>
      <c r="M895" s="3"/>
      <c r="N895" s="3"/>
      <c r="O895" s="3"/>
      <c r="P895" s="3"/>
      <c r="Q895" s="6"/>
      <c r="R895" s="3"/>
      <c r="S895" s="3"/>
      <c r="T895" s="3"/>
      <c r="U895" s="3"/>
      <c r="V895" s="3"/>
      <c r="W895" s="3"/>
      <c r="X895" s="3"/>
      <c r="Y895" s="3"/>
      <c r="Z895" s="3"/>
    </row>
    <row r="896" spans="11:26" ht="15.75" customHeight="1" x14ac:dyDescent="0.3">
      <c r="K896" s="79"/>
      <c r="L896" s="79"/>
      <c r="M896" s="3"/>
      <c r="N896" s="3"/>
      <c r="O896" s="3"/>
      <c r="P896" s="3"/>
      <c r="Q896" s="6"/>
      <c r="R896" s="3"/>
      <c r="S896" s="3"/>
      <c r="T896" s="3"/>
      <c r="U896" s="3"/>
      <c r="V896" s="3"/>
      <c r="W896" s="3"/>
      <c r="X896" s="3"/>
      <c r="Y896" s="3"/>
      <c r="Z896" s="3"/>
    </row>
    <row r="897" spans="11:26" ht="15.75" customHeight="1" x14ac:dyDescent="0.3">
      <c r="K897" s="79"/>
      <c r="L897" s="79"/>
      <c r="M897" s="3"/>
      <c r="N897" s="3"/>
      <c r="O897" s="3"/>
      <c r="P897" s="3"/>
      <c r="Q897" s="6"/>
      <c r="R897" s="3"/>
      <c r="S897" s="3"/>
      <c r="T897" s="3"/>
      <c r="U897" s="3"/>
      <c r="V897" s="3"/>
      <c r="W897" s="3"/>
      <c r="X897" s="3"/>
      <c r="Y897" s="3"/>
      <c r="Z897" s="3"/>
    </row>
    <row r="898" spans="11:26" ht="15.75" customHeight="1" x14ac:dyDescent="0.3">
      <c r="K898" s="79"/>
      <c r="L898" s="79"/>
      <c r="M898" s="3"/>
      <c r="N898" s="3"/>
      <c r="O898" s="3"/>
      <c r="P898" s="3"/>
      <c r="Q898" s="6"/>
      <c r="R898" s="3"/>
      <c r="S898" s="3"/>
      <c r="T898" s="3"/>
      <c r="U898" s="3"/>
      <c r="V898" s="3"/>
      <c r="W898" s="3"/>
      <c r="X898" s="3"/>
      <c r="Y898" s="3"/>
      <c r="Z898" s="3"/>
    </row>
    <row r="899" spans="11:26" ht="15.75" customHeight="1" x14ac:dyDescent="0.3">
      <c r="K899" s="79"/>
      <c r="L899" s="79"/>
      <c r="M899" s="3"/>
      <c r="N899" s="3"/>
      <c r="O899" s="3"/>
      <c r="P899" s="3"/>
      <c r="Q899" s="6"/>
      <c r="R899" s="3"/>
      <c r="S899" s="3"/>
      <c r="T899" s="3"/>
      <c r="U899" s="3"/>
      <c r="V899" s="3"/>
      <c r="W899" s="3"/>
      <c r="X899" s="3"/>
      <c r="Y899" s="3"/>
      <c r="Z899" s="3"/>
    </row>
    <row r="900" spans="11:26" ht="15.75" customHeight="1" x14ac:dyDescent="0.3">
      <c r="K900" s="79"/>
      <c r="L900" s="79"/>
      <c r="M900" s="3"/>
      <c r="N900" s="3"/>
      <c r="O900" s="3"/>
      <c r="P900" s="3"/>
      <c r="Q900" s="6"/>
      <c r="R900" s="3"/>
      <c r="S900" s="3"/>
      <c r="T900" s="3"/>
      <c r="U900" s="3"/>
      <c r="V900" s="3"/>
      <c r="W900" s="3"/>
      <c r="X900" s="3"/>
      <c r="Y900" s="3"/>
      <c r="Z900" s="3"/>
    </row>
    <row r="901" spans="11:26" ht="15.75" customHeight="1" x14ac:dyDescent="0.3">
      <c r="K901" s="79"/>
      <c r="L901" s="79"/>
      <c r="M901" s="3"/>
      <c r="N901" s="3"/>
      <c r="O901" s="3"/>
      <c r="P901" s="3"/>
      <c r="Q901" s="6"/>
      <c r="R901" s="3"/>
      <c r="S901" s="3"/>
      <c r="T901" s="3"/>
      <c r="U901" s="3"/>
      <c r="V901" s="3"/>
      <c r="W901" s="3"/>
      <c r="X901" s="3"/>
      <c r="Y901" s="3"/>
      <c r="Z901" s="3"/>
    </row>
    <row r="902" spans="11:26" ht="15.75" customHeight="1" x14ac:dyDescent="0.3">
      <c r="K902" s="79"/>
      <c r="L902" s="79"/>
      <c r="M902" s="3"/>
      <c r="N902" s="3"/>
      <c r="O902" s="3"/>
      <c r="P902" s="3"/>
      <c r="Q902" s="6"/>
      <c r="R902" s="3"/>
      <c r="S902" s="3"/>
      <c r="T902" s="3"/>
      <c r="U902" s="3"/>
      <c r="V902" s="3"/>
      <c r="W902" s="3"/>
      <c r="X902" s="3"/>
      <c r="Y902" s="3"/>
      <c r="Z902" s="3"/>
    </row>
    <row r="903" spans="11:26" ht="15.75" customHeight="1" x14ac:dyDescent="0.3">
      <c r="K903" s="79"/>
      <c r="L903" s="79"/>
      <c r="M903" s="3"/>
      <c r="N903" s="3"/>
      <c r="O903" s="3"/>
      <c r="P903" s="3"/>
      <c r="Q903" s="6"/>
      <c r="R903" s="3"/>
      <c r="S903" s="3"/>
      <c r="T903" s="3"/>
      <c r="U903" s="3"/>
      <c r="V903" s="3"/>
      <c r="W903" s="3"/>
      <c r="X903" s="3"/>
      <c r="Y903" s="3"/>
      <c r="Z903" s="3"/>
    </row>
    <row r="904" spans="11:26" ht="15.75" customHeight="1" x14ac:dyDescent="0.3">
      <c r="K904" s="79"/>
      <c r="L904" s="79"/>
      <c r="M904" s="3"/>
      <c r="N904" s="3"/>
      <c r="O904" s="3"/>
      <c r="P904" s="3"/>
      <c r="Q904" s="6"/>
      <c r="R904" s="3"/>
      <c r="S904" s="3"/>
      <c r="T904" s="3"/>
      <c r="U904" s="3"/>
      <c r="V904" s="3"/>
      <c r="W904" s="3"/>
      <c r="X904" s="3"/>
      <c r="Y904" s="3"/>
      <c r="Z904" s="3"/>
    </row>
    <row r="905" spans="11:26" ht="14.4" x14ac:dyDescent="0.3">
      <c r="K905" s="79"/>
      <c r="L905" s="79"/>
      <c r="M905" s="3"/>
      <c r="N905" s="3"/>
      <c r="O905" s="3"/>
      <c r="P905" s="3"/>
      <c r="Q905" s="6"/>
      <c r="R905" s="3"/>
      <c r="S905" s="3"/>
      <c r="T905" s="3"/>
      <c r="U905" s="3"/>
      <c r="V905" s="3"/>
      <c r="W905" s="3"/>
      <c r="X905" s="3"/>
      <c r="Y905" s="3"/>
      <c r="Z905" s="3"/>
    </row>
    <row r="906" spans="11:26" ht="14.4" x14ac:dyDescent="0.3">
      <c r="K906" s="79"/>
      <c r="L906" s="79"/>
      <c r="M906" s="3"/>
      <c r="N906" s="3"/>
      <c r="O906" s="3"/>
      <c r="P906" s="3"/>
      <c r="Q906" s="6"/>
      <c r="R906" s="3"/>
      <c r="S906" s="3"/>
      <c r="T906" s="3"/>
      <c r="U906" s="3"/>
      <c r="V906" s="3"/>
      <c r="W906" s="3"/>
      <c r="X906" s="3"/>
      <c r="Y906" s="3"/>
      <c r="Z906" s="3"/>
    </row>
    <row r="907" spans="11:26" ht="14.4" x14ac:dyDescent="0.3">
      <c r="K907" s="79"/>
      <c r="L907" s="79"/>
      <c r="M907" s="3"/>
      <c r="N907" s="3"/>
      <c r="O907" s="3"/>
      <c r="P907" s="3"/>
      <c r="Q907" s="6"/>
      <c r="R907" s="3"/>
      <c r="S907" s="3"/>
      <c r="T907" s="3"/>
      <c r="U907" s="3"/>
      <c r="V907" s="3"/>
      <c r="W907" s="3"/>
      <c r="X907" s="3"/>
      <c r="Y907" s="3"/>
      <c r="Z907" s="3"/>
    </row>
    <row r="908" spans="11:26" ht="14.4" x14ac:dyDescent="0.3">
      <c r="K908" s="79"/>
      <c r="L908" s="79"/>
      <c r="M908" s="3"/>
      <c r="N908" s="3"/>
      <c r="O908" s="3"/>
      <c r="P908" s="3"/>
      <c r="Q908" s="6"/>
      <c r="R908" s="3"/>
      <c r="S908" s="3"/>
      <c r="T908" s="3"/>
      <c r="U908" s="3"/>
      <c r="V908" s="3"/>
      <c r="W908" s="3"/>
      <c r="X908" s="3"/>
      <c r="Y908" s="3"/>
      <c r="Z908" s="3"/>
    </row>
    <row r="909" spans="11:26" ht="14.4" x14ac:dyDescent="0.3">
      <c r="K909" s="79"/>
      <c r="L909" s="79"/>
      <c r="M909" s="3"/>
      <c r="N909" s="3"/>
      <c r="O909" s="3"/>
      <c r="P909" s="3"/>
      <c r="Q909" s="6"/>
      <c r="R909" s="3"/>
      <c r="S909" s="3"/>
      <c r="T909" s="3"/>
      <c r="U909" s="3"/>
      <c r="V909" s="3"/>
      <c r="W909" s="3"/>
      <c r="X909" s="3"/>
      <c r="Y909" s="3"/>
      <c r="Z909" s="3"/>
    </row>
    <row r="910" spans="11:26" ht="14.4" x14ac:dyDescent="0.3">
      <c r="K910" s="79"/>
      <c r="L910" s="79"/>
      <c r="M910" s="3"/>
      <c r="N910" s="3"/>
      <c r="O910" s="3"/>
      <c r="P910" s="3"/>
      <c r="Q910" s="6"/>
      <c r="R910" s="3"/>
      <c r="S910" s="3"/>
      <c r="T910" s="3"/>
      <c r="U910" s="3"/>
      <c r="V910" s="3"/>
      <c r="W910" s="3"/>
      <c r="X910" s="3"/>
      <c r="Y910" s="3"/>
      <c r="Z910" s="3"/>
    </row>
    <row r="911" spans="11:26" ht="14.4" x14ac:dyDescent="0.3">
      <c r="K911" s="79"/>
      <c r="L911" s="79"/>
      <c r="M911" s="3"/>
      <c r="N911" s="3"/>
      <c r="O911" s="3"/>
      <c r="P911" s="3"/>
      <c r="Q911" s="6"/>
      <c r="R911" s="3"/>
      <c r="S911" s="3"/>
      <c r="T911" s="3"/>
      <c r="U911" s="3"/>
      <c r="V911" s="3"/>
      <c r="W911" s="3"/>
      <c r="X911" s="3"/>
      <c r="Y911" s="3"/>
      <c r="Z911" s="3"/>
    </row>
    <row r="912" spans="11:26" ht="14.4" x14ac:dyDescent="0.3">
      <c r="K912" s="79"/>
      <c r="L912" s="79"/>
      <c r="M912" s="3"/>
      <c r="N912" s="3"/>
      <c r="O912" s="3"/>
      <c r="P912" s="3"/>
      <c r="Q912" s="6"/>
      <c r="R912" s="3"/>
      <c r="S912" s="3"/>
      <c r="T912" s="3"/>
      <c r="U912" s="3"/>
      <c r="V912" s="3"/>
      <c r="W912" s="3"/>
      <c r="X912" s="3"/>
      <c r="Y912" s="3"/>
      <c r="Z912" s="3"/>
    </row>
    <row r="913" spans="11:26" ht="14.4" x14ac:dyDescent="0.3">
      <c r="K913" s="79"/>
      <c r="L913" s="79"/>
      <c r="M913" s="3"/>
      <c r="N913" s="3"/>
      <c r="O913" s="3"/>
      <c r="P913" s="3"/>
      <c r="Q913" s="6"/>
      <c r="R913" s="3"/>
      <c r="S913" s="3"/>
      <c r="T913" s="3"/>
      <c r="U913" s="3"/>
      <c r="V913" s="3"/>
      <c r="W913" s="3"/>
      <c r="X913" s="3"/>
      <c r="Y913" s="3"/>
      <c r="Z913" s="3"/>
    </row>
    <row r="914" spans="11:26" ht="14.4" x14ac:dyDescent="0.3">
      <c r="K914" s="79"/>
      <c r="L914" s="79"/>
      <c r="M914" s="3"/>
      <c r="N914" s="3"/>
      <c r="O914" s="3"/>
      <c r="P914" s="3"/>
      <c r="Q914" s="6"/>
      <c r="R914" s="3"/>
      <c r="S914" s="3"/>
      <c r="T914" s="3"/>
      <c r="U914" s="3"/>
      <c r="V914" s="3"/>
      <c r="W914" s="3"/>
      <c r="X914" s="3"/>
      <c r="Y914" s="3"/>
      <c r="Z914" s="3"/>
    </row>
    <row r="915" spans="11:26" ht="14.4" x14ac:dyDescent="0.3">
      <c r="K915" s="79"/>
      <c r="L915" s="79"/>
      <c r="M915" s="3"/>
      <c r="N915" s="3"/>
      <c r="O915" s="3"/>
      <c r="P915" s="3"/>
      <c r="Q915" s="6"/>
      <c r="R915" s="3"/>
      <c r="S915" s="3"/>
      <c r="T915" s="3"/>
      <c r="U915" s="3"/>
      <c r="V915" s="3"/>
      <c r="W915" s="3"/>
      <c r="X915" s="3"/>
      <c r="Y915" s="3"/>
      <c r="Z915" s="3"/>
    </row>
    <row r="916" spans="11:26" ht="14.4" x14ac:dyDescent="0.3">
      <c r="K916" s="79"/>
      <c r="L916" s="79"/>
      <c r="M916" s="3"/>
      <c r="N916" s="3"/>
      <c r="O916" s="3"/>
      <c r="P916" s="3"/>
      <c r="Q916" s="6"/>
      <c r="R916" s="3"/>
      <c r="S916" s="3"/>
      <c r="T916" s="3"/>
      <c r="U916" s="3"/>
      <c r="V916" s="3"/>
      <c r="W916" s="3"/>
      <c r="X916" s="3"/>
      <c r="Y916" s="3"/>
      <c r="Z916" s="3"/>
    </row>
    <row r="917" spans="11:26" ht="14.4" x14ac:dyDescent="0.3">
      <c r="K917" s="79"/>
      <c r="L917" s="79"/>
      <c r="M917" s="3"/>
      <c r="N917" s="3"/>
      <c r="O917" s="3"/>
      <c r="P917" s="3"/>
      <c r="Q917" s="6"/>
      <c r="R917" s="3"/>
      <c r="S917" s="3"/>
      <c r="T917" s="3"/>
      <c r="U917" s="3"/>
      <c r="V917" s="3"/>
      <c r="W917" s="3"/>
      <c r="X917" s="3"/>
      <c r="Y917" s="3"/>
      <c r="Z917" s="3"/>
    </row>
    <row r="918" spans="11:26" ht="14.4" x14ac:dyDescent="0.3">
      <c r="Q918" s="6"/>
    </row>
    <row r="919" spans="11:26" ht="14.4" x14ac:dyDescent="0.3">
      <c r="Q919" s="6"/>
    </row>
    <row r="920" spans="11:26" ht="14.4" x14ac:dyDescent="0.3">
      <c r="Q920" s="6"/>
    </row>
    <row r="921" spans="11:26" ht="14.4" x14ac:dyDescent="0.3">
      <c r="Q921" s="6"/>
    </row>
    <row r="922" spans="11:26" ht="14.4" x14ac:dyDescent="0.3">
      <c r="Q922" s="6"/>
    </row>
    <row r="923" spans="11:26" ht="14.4" x14ac:dyDescent="0.3">
      <c r="Q923" s="6"/>
    </row>
    <row r="924" spans="11:26" ht="14.4" x14ac:dyDescent="0.3">
      <c r="Q924" s="6"/>
    </row>
    <row r="925" spans="11:26" ht="14.4" x14ac:dyDescent="0.3">
      <c r="Q925" s="6"/>
    </row>
    <row r="926" spans="11:26" ht="14.4" x14ac:dyDescent="0.3">
      <c r="Q926" s="6"/>
    </row>
    <row r="927" spans="11:26" ht="14.4" x14ac:dyDescent="0.3">
      <c r="Q927" s="6"/>
    </row>
    <row r="928" spans="11:26" ht="14.4" x14ac:dyDescent="0.3">
      <c r="Q928" s="6"/>
    </row>
    <row r="929" spans="17:17" ht="14.4" x14ac:dyDescent="0.3">
      <c r="Q929" s="6"/>
    </row>
    <row r="930" spans="17:17" ht="14.4" x14ac:dyDescent="0.3">
      <c r="Q930" s="6"/>
    </row>
    <row r="931" spans="17:17" ht="14.4" x14ac:dyDescent="0.3">
      <c r="Q931" s="6"/>
    </row>
    <row r="932" spans="17:17" ht="14.4" x14ac:dyDescent="0.3">
      <c r="Q932" s="6"/>
    </row>
    <row r="933" spans="17:17" ht="14.4" x14ac:dyDescent="0.3">
      <c r="Q933" s="6"/>
    </row>
    <row r="934" spans="17:17" ht="14.4" x14ac:dyDescent="0.3">
      <c r="Q934" s="6"/>
    </row>
    <row r="935" spans="17:17" ht="14.4" x14ac:dyDescent="0.3">
      <c r="Q935" s="6"/>
    </row>
    <row r="936" spans="17:17" ht="14.4" x14ac:dyDescent="0.3">
      <c r="Q936" s="6"/>
    </row>
    <row r="937" spans="17:17" ht="14.4" x14ac:dyDescent="0.3">
      <c r="Q937" s="6"/>
    </row>
    <row r="938" spans="17:17" ht="14.4" x14ac:dyDescent="0.3">
      <c r="Q938" s="6"/>
    </row>
    <row r="939" spans="17:17" ht="14.4" x14ac:dyDescent="0.3">
      <c r="Q939" s="6"/>
    </row>
    <row r="940" spans="17:17" ht="14.4" x14ac:dyDescent="0.3">
      <c r="Q940" s="6"/>
    </row>
    <row r="941" spans="17:17" ht="14.4" x14ac:dyDescent="0.3">
      <c r="Q941" s="6"/>
    </row>
    <row r="942" spans="17:17" ht="14.4" x14ac:dyDescent="0.3">
      <c r="Q942" s="6"/>
    </row>
    <row r="943" spans="17:17" ht="14.4" x14ac:dyDescent="0.3">
      <c r="Q943" s="6"/>
    </row>
    <row r="944" spans="17:17" ht="14.4" x14ac:dyDescent="0.3">
      <c r="Q944" s="6"/>
    </row>
    <row r="945" spans="17:17" ht="14.4" x14ac:dyDescent="0.3">
      <c r="Q945" s="6"/>
    </row>
    <row r="946" spans="17:17" ht="14.4" x14ac:dyDescent="0.3">
      <c r="Q946" s="6"/>
    </row>
    <row r="947" spans="17:17" ht="14.4" x14ac:dyDescent="0.3">
      <c r="Q947" s="6"/>
    </row>
    <row r="948" spans="17:17" ht="14.4" x14ac:dyDescent="0.3">
      <c r="Q948" s="6"/>
    </row>
    <row r="949" spans="17:17" ht="14.4" x14ac:dyDescent="0.3">
      <c r="Q949" s="6"/>
    </row>
    <row r="950" spans="17:17" ht="14.4" x14ac:dyDescent="0.3">
      <c r="Q950" s="6"/>
    </row>
    <row r="951" spans="17:17" ht="14.4" x14ac:dyDescent="0.3">
      <c r="Q951" s="6"/>
    </row>
    <row r="952" spans="17:17" ht="14.4" x14ac:dyDescent="0.3">
      <c r="Q952" s="6"/>
    </row>
    <row r="953" spans="17:17" ht="14.4" x14ac:dyDescent="0.3">
      <c r="Q953" s="6"/>
    </row>
    <row r="954" spans="17:17" ht="14.4" x14ac:dyDescent="0.3">
      <c r="Q954" s="6"/>
    </row>
    <row r="955" spans="17:17" ht="14.4" x14ac:dyDescent="0.3">
      <c r="Q955" s="6"/>
    </row>
    <row r="956" spans="17:17" ht="14.4" x14ac:dyDescent="0.3">
      <c r="Q956" s="6"/>
    </row>
    <row r="957" spans="17:17" ht="14.4" x14ac:dyDescent="0.3">
      <c r="Q957" s="6"/>
    </row>
    <row r="958" spans="17:17" ht="14.4" x14ac:dyDescent="0.3">
      <c r="Q958" s="6"/>
    </row>
    <row r="959" spans="17:17" ht="14.4" x14ac:dyDescent="0.3">
      <c r="Q959" s="6"/>
    </row>
    <row r="960" spans="17:17" ht="14.4" x14ac:dyDescent="0.3">
      <c r="Q960" s="6"/>
    </row>
    <row r="961" spans="17:17" ht="14.4" x14ac:dyDescent="0.3">
      <c r="Q961" s="6"/>
    </row>
    <row r="962" spans="17:17" ht="14.4" x14ac:dyDescent="0.3">
      <c r="Q962" s="6"/>
    </row>
    <row r="963" spans="17:17" ht="14.4" x14ac:dyDescent="0.3">
      <c r="Q963" s="6"/>
    </row>
    <row r="964" spans="17:17" ht="14.4" x14ac:dyDescent="0.3">
      <c r="Q964" s="6"/>
    </row>
    <row r="965" spans="17:17" ht="14.4" x14ac:dyDescent="0.3">
      <c r="Q965" s="6"/>
    </row>
    <row r="966" spans="17:17" ht="14.4" x14ac:dyDescent="0.3">
      <c r="Q966" s="6"/>
    </row>
    <row r="967" spans="17:17" ht="14.4" x14ac:dyDescent="0.3">
      <c r="Q967" s="6"/>
    </row>
    <row r="968" spans="17:17" ht="14.4" x14ac:dyDescent="0.3">
      <c r="Q968" s="6"/>
    </row>
    <row r="969" spans="17:17" ht="14.4" x14ac:dyDescent="0.3">
      <c r="Q969" s="6"/>
    </row>
    <row r="970" spans="17:17" ht="14.4" x14ac:dyDescent="0.3">
      <c r="Q970" s="6"/>
    </row>
    <row r="971" spans="17:17" ht="14.4" x14ac:dyDescent="0.3">
      <c r="Q971" s="6"/>
    </row>
    <row r="972" spans="17:17" ht="14.4" x14ac:dyDescent="0.3">
      <c r="Q972" s="6"/>
    </row>
    <row r="973" spans="17:17" ht="14.4" x14ac:dyDescent="0.3">
      <c r="Q973" s="6"/>
    </row>
    <row r="974" spans="17:17" ht="14.4" x14ac:dyDescent="0.3">
      <c r="Q974" s="6"/>
    </row>
    <row r="975" spans="17:17" ht="14.4" x14ac:dyDescent="0.3">
      <c r="Q975" s="6"/>
    </row>
    <row r="976" spans="17:17" ht="14.4" x14ac:dyDescent="0.3">
      <c r="Q976" s="6"/>
    </row>
    <row r="977" spans="17:17" ht="14.4" x14ac:dyDescent="0.3">
      <c r="Q977" s="6"/>
    </row>
    <row r="978" spans="17:17" ht="14.4" x14ac:dyDescent="0.3">
      <c r="Q978" s="6"/>
    </row>
    <row r="979" spans="17:17" ht="14.4" x14ac:dyDescent="0.3">
      <c r="Q979" s="6"/>
    </row>
    <row r="980" spans="17:17" ht="14.4" x14ac:dyDescent="0.3">
      <c r="Q980" s="6"/>
    </row>
    <row r="981" spans="17:17" ht="14.4" x14ac:dyDescent="0.3">
      <c r="Q981" s="6"/>
    </row>
    <row r="982" spans="17:17" ht="14.4" x14ac:dyDescent="0.3">
      <c r="Q982" s="6"/>
    </row>
    <row r="983" spans="17:17" ht="14.4" x14ac:dyDescent="0.3">
      <c r="Q983" s="6"/>
    </row>
    <row r="984" spans="17:17" ht="14.4" x14ac:dyDescent="0.3">
      <c r="Q984" s="6"/>
    </row>
    <row r="985" spans="17:17" ht="14.4" x14ac:dyDescent="0.3">
      <c r="Q985" s="6"/>
    </row>
    <row r="986" spans="17:17" ht="14.4" x14ac:dyDescent="0.3">
      <c r="Q986" s="6"/>
    </row>
    <row r="987" spans="17:17" ht="14.4" x14ac:dyDescent="0.3">
      <c r="Q987" s="6"/>
    </row>
    <row r="988" spans="17:17" ht="14.4" x14ac:dyDescent="0.3">
      <c r="Q988" s="6"/>
    </row>
    <row r="989" spans="17:17" ht="14.4" x14ac:dyDescent="0.3">
      <c r="Q989" s="6"/>
    </row>
    <row r="990" spans="17:17" ht="14.4" x14ac:dyDescent="0.3">
      <c r="Q990" s="6"/>
    </row>
    <row r="991" spans="17:17" ht="14.4" x14ac:dyDescent="0.3">
      <c r="Q991" s="6"/>
    </row>
    <row r="992" spans="17:17" ht="14.4" x14ac:dyDescent="0.3">
      <c r="Q992" s="6"/>
    </row>
    <row r="993" spans="17:17" ht="14.4" x14ac:dyDescent="0.3">
      <c r="Q993" s="6"/>
    </row>
    <row r="994" spans="17:17" ht="14.4" x14ac:dyDescent="0.3">
      <c r="Q994" s="6"/>
    </row>
    <row r="995" spans="17:17" ht="14.4" x14ac:dyDescent="0.3">
      <c r="Q995" s="6"/>
    </row>
    <row r="996" spans="17:17" ht="14.4" x14ac:dyDescent="0.3">
      <c r="Q996" s="6"/>
    </row>
    <row r="997" spans="17:17" ht="14.4" x14ac:dyDescent="0.3">
      <c r="Q997" s="6"/>
    </row>
    <row r="998" spans="17:17" ht="14.4" x14ac:dyDescent="0.3">
      <c r="Q998" s="6"/>
    </row>
    <row r="999" spans="17:17" ht="14.4" x14ac:dyDescent="0.3">
      <c r="Q999" s="6"/>
    </row>
    <row r="1000" spans="17:17" ht="14.4" x14ac:dyDescent="0.3">
      <c r="Q1000" s="6"/>
    </row>
    <row r="1001" spans="17:17" ht="14.4" x14ac:dyDescent="0.3">
      <c r="Q1001" s="6"/>
    </row>
    <row r="1002" spans="17:17" ht="14.4" x14ac:dyDescent="0.3">
      <c r="Q1002" s="6"/>
    </row>
  </sheetData>
  <mergeCells count="11">
    <mergeCell ref="B87:H87"/>
    <mergeCell ref="K88:L88"/>
    <mergeCell ref="B89:H89"/>
    <mergeCell ref="B90:H90"/>
    <mergeCell ref="K92:L92"/>
    <mergeCell ref="A1:N3"/>
    <mergeCell ref="U7:W7"/>
    <mergeCell ref="B10:B11"/>
    <mergeCell ref="B12:B13"/>
    <mergeCell ref="B16:B17"/>
    <mergeCell ref="B18:B19"/>
  </mergeCells>
  <pageMargins left="0.25" right="0.25" top="0.75" bottom="0.75" header="0" footer="0"/>
  <pageSetup scale="5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CD22-C119-4E65-843A-9D9F8FE03F81}">
  <dimension ref="A1:CE918"/>
  <sheetViews>
    <sheetView topLeftCell="AX55" zoomScale="81" workbookViewId="0">
      <selection activeCell="A105" sqref="A105"/>
    </sheetView>
  </sheetViews>
  <sheetFormatPr baseColWidth="10" defaultColWidth="14.44140625" defaultRowHeight="15" customHeight="1" outlineLevelRow="1" x14ac:dyDescent="0.3"/>
  <cols>
    <col min="1" max="1" width="14.44140625" style="4"/>
    <col min="2" max="2" width="28.6640625" style="4" customWidth="1"/>
    <col min="3" max="3" width="16.6640625" style="4" customWidth="1"/>
    <col min="4" max="4" width="15.5546875" style="4" customWidth="1"/>
    <col min="5" max="15" width="16.109375" style="4" customWidth="1"/>
    <col min="16" max="17" width="16.6640625" style="4" customWidth="1"/>
    <col min="18" max="18" width="17.33203125" style="4" customWidth="1"/>
    <col min="19" max="25" width="16.6640625" style="4" customWidth="1"/>
    <col min="26" max="47" width="17.5546875" style="4" customWidth="1"/>
    <col min="48" max="49" width="19" style="4" bestFit="1" customWidth="1"/>
    <col min="50" max="64" width="17.5546875" style="4" customWidth="1"/>
    <col min="65" max="65" width="16.44140625" style="4" bestFit="1" customWidth="1"/>
    <col min="66" max="66" width="16" style="4" customWidth="1"/>
    <col min="67" max="67" width="14.77734375" style="4" bestFit="1" customWidth="1"/>
    <col min="68" max="16384" width="14.44140625" style="4"/>
  </cols>
  <sheetData>
    <row r="1" spans="1:83" ht="25.8" x14ac:dyDescent="0.5">
      <c r="B1" s="9" t="s">
        <v>1</v>
      </c>
    </row>
    <row r="2" spans="1:83" ht="25.8" x14ac:dyDescent="0.5">
      <c r="B2" s="9"/>
      <c r="C2" s="3" t="str">
        <f t="shared" ref="C2:BK2" si="0">+TEXT(C4,"yyyy")</f>
        <v>2024</v>
      </c>
      <c r="D2" s="3" t="str">
        <f t="shared" si="0"/>
        <v>2024</v>
      </c>
      <c r="E2" s="3" t="str">
        <f t="shared" si="0"/>
        <v>2024</v>
      </c>
      <c r="F2" s="3" t="str">
        <f t="shared" si="0"/>
        <v>2024</v>
      </c>
      <c r="G2" s="3" t="str">
        <f t="shared" si="0"/>
        <v>2025</v>
      </c>
      <c r="H2" s="3" t="str">
        <f t="shared" si="0"/>
        <v>2025</v>
      </c>
      <c r="I2" s="3" t="str">
        <f t="shared" si="0"/>
        <v>2025</v>
      </c>
      <c r="J2" s="3" t="str">
        <f t="shared" si="0"/>
        <v>2025</v>
      </c>
      <c r="K2" s="3" t="str">
        <f t="shared" si="0"/>
        <v>2025</v>
      </c>
      <c r="L2" s="3" t="str">
        <f t="shared" si="0"/>
        <v>2025</v>
      </c>
      <c r="M2" s="3" t="str">
        <f t="shared" si="0"/>
        <v>2025</v>
      </c>
      <c r="N2" s="3" t="str">
        <f t="shared" si="0"/>
        <v>2025</v>
      </c>
      <c r="O2" s="3" t="str">
        <f t="shared" si="0"/>
        <v>2025</v>
      </c>
      <c r="P2" s="3" t="str">
        <f t="shared" si="0"/>
        <v>2025</v>
      </c>
      <c r="Q2" s="3" t="str">
        <f t="shared" si="0"/>
        <v>2025</v>
      </c>
      <c r="R2" s="3" t="str">
        <f t="shared" si="0"/>
        <v>2025</v>
      </c>
      <c r="S2" s="3" t="str">
        <f t="shared" si="0"/>
        <v>2026</v>
      </c>
      <c r="T2" s="3" t="str">
        <f t="shared" si="0"/>
        <v>2026</v>
      </c>
      <c r="U2" s="3" t="str">
        <f t="shared" si="0"/>
        <v>2026</v>
      </c>
      <c r="V2" s="3" t="str">
        <f t="shared" si="0"/>
        <v>2026</v>
      </c>
      <c r="W2" s="3" t="str">
        <f t="shared" si="0"/>
        <v>2026</v>
      </c>
      <c r="X2" s="3" t="str">
        <f t="shared" si="0"/>
        <v>2026</v>
      </c>
      <c r="Y2" s="3" t="str">
        <f t="shared" si="0"/>
        <v>2026</v>
      </c>
      <c r="Z2" s="3" t="str">
        <f t="shared" si="0"/>
        <v>2026</v>
      </c>
      <c r="AA2" s="3" t="str">
        <f t="shared" si="0"/>
        <v>2026</v>
      </c>
      <c r="AB2" s="3" t="str">
        <f t="shared" si="0"/>
        <v>2026</v>
      </c>
      <c r="AC2" s="3" t="str">
        <f t="shared" si="0"/>
        <v>2026</v>
      </c>
      <c r="AD2" s="3" t="str">
        <f t="shared" si="0"/>
        <v>2026</v>
      </c>
      <c r="AE2" s="3" t="str">
        <f t="shared" si="0"/>
        <v>2027</v>
      </c>
      <c r="AF2" s="3" t="str">
        <f t="shared" si="0"/>
        <v>2027</v>
      </c>
      <c r="AG2" s="3" t="str">
        <f t="shared" si="0"/>
        <v>2027</v>
      </c>
      <c r="AH2" s="3" t="str">
        <f t="shared" si="0"/>
        <v>2027</v>
      </c>
      <c r="AI2" s="3" t="str">
        <f t="shared" si="0"/>
        <v>2027</v>
      </c>
      <c r="AJ2" s="3" t="str">
        <f t="shared" si="0"/>
        <v>2027</v>
      </c>
      <c r="AK2" s="3" t="str">
        <f t="shared" si="0"/>
        <v>2027</v>
      </c>
      <c r="AL2" s="3" t="str">
        <f t="shared" si="0"/>
        <v>2027</v>
      </c>
      <c r="AM2" s="3" t="str">
        <f t="shared" si="0"/>
        <v>2027</v>
      </c>
      <c r="AN2" s="3" t="str">
        <f t="shared" si="0"/>
        <v>2027</v>
      </c>
      <c r="AO2" s="3" t="str">
        <f t="shared" si="0"/>
        <v>2027</v>
      </c>
      <c r="AP2" s="3" t="str">
        <f t="shared" si="0"/>
        <v>2027</v>
      </c>
      <c r="AQ2" s="3" t="str">
        <f t="shared" si="0"/>
        <v>2028</v>
      </c>
      <c r="AR2" s="3" t="str">
        <f t="shared" si="0"/>
        <v>2028</v>
      </c>
      <c r="AS2" s="3" t="str">
        <f t="shared" si="0"/>
        <v>2028</v>
      </c>
      <c r="AT2" s="3" t="str">
        <f t="shared" si="0"/>
        <v>2028</v>
      </c>
      <c r="AU2" s="3" t="str">
        <f t="shared" si="0"/>
        <v>2028</v>
      </c>
      <c r="AV2" s="3" t="str">
        <f t="shared" si="0"/>
        <v>2028</v>
      </c>
      <c r="AW2" s="3" t="str">
        <f t="shared" si="0"/>
        <v>2028</v>
      </c>
      <c r="AX2" s="3" t="str">
        <f t="shared" si="0"/>
        <v>2028</v>
      </c>
      <c r="AY2" s="3" t="str">
        <f t="shared" si="0"/>
        <v>2028</v>
      </c>
      <c r="AZ2" s="3" t="str">
        <f t="shared" si="0"/>
        <v>2028</v>
      </c>
      <c r="BA2" s="3" t="str">
        <f t="shared" si="0"/>
        <v>2028</v>
      </c>
      <c r="BB2" s="3" t="str">
        <f t="shared" si="0"/>
        <v>2028</v>
      </c>
      <c r="BC2" s="3" t="str">
        <f t="shared" si="0"/>
        <v>2029</v>
      </c>
      <c r="BD2" s="3" t="str">
        <f t="shared" si="0"/>
        <v>2029</v>
      </c>
      <c r="BE2" s="3" t="str">
        <f t="shared" si="0"/>
        <v>2029</v>
      </c>
      <c r="BF2" s="3" t="str">
        <f t="shared" si="0"/>
        <v>2029</v>
      </c>
      <c r="BG2" s="3" t="str">
        <f t="shared" si="0"/>
        <v>2029</v>
      </c>
      <c r="BH2" s="3" t="str">
        <f t="shared" si="0"/>
        <v>2029</v>
      </c>
      <c r="BI2" s="3" t="str">
        <f t="shared" si="0"/>
        <v>2029</v>
      </c>
      <c r="BJ2" s="3" t="str">
        <f t="shared" si="0"/>
        <v>2029</v>
      </c>
      <c r="BK2" s="3" t="str">
        <f t="shared" si="0"/>
        <v>2029</v>
      </c>
    </row>
    <row r="3" spans="1:83" ht="15" customHeight="1" x14ac:dyDescent="0.3">
      <c r="A3" s="185"/>
      <c r="B3" s="185"/>
      <c r="C3" s="185" t="s">
        <v>74</v>
      </c>
      <c r="D3" s="185" t="s">
        <v>75</v>
      </c>
      <c r="E3" s="185" t="s">
        <v>76</v>
      </c>
      <c r="F3" s="185" t="s">
        <v>77</v>
      </c>
      <c r="G3" s="185" t="s">
        <v>78</v>
      </c>
      <c r="H3" s="185" t="s">
        <v>79</v>
      </c>
      <c r="I3" s="185" t="s">
        <v>80</v>
      </c>
      <c r="J3" s="185" t="s">
        <v>81</v>
      </c>
      <c r="K3" s="185" t="s">
        <v>82</v>
      </c>
      <c r="L3" s="185" t="s">
        <v>83</v>
      </c>
      <c r="M3" s="185" t="s">
        <v>84</v>
      </c>
      <c r="N3" s="185" t="s">
        <v>85</v>
      </c>
      <c r="O3" s="185" t="s">
        <v>86</v>
      </c>
      <c r="P3" s="185" t="s">
        <v>87</v>
      </c>
      <c r="Q3" s="185" t="s">
        <v>88</v>
      </c>
      <c r="R3" s="185" t="s">
        <v>89</v>
      </c>
      <c r="S3" s="185" t="s">
        <v>90</v>
      </c>
      <c r="T3" s="185" t="s">
        <v>91</v>
      </c>
      <c r="U3" s="185" t="s">
        <v>92</v>
      </c>
      <c r="V3" s="185" t="s">
        <v>93</v>
      </c>
      <c r="W3" s="185" t="s">
        <v>94</v>
      </c>
      <c r="X3" s="185" t="s">
        <v>95</v>
      </c>
      <c r="Y3" s="185" t="s">
        <v>96</v>
      </c>
      <c r="Z3" s="185" t="s">
        <v>97</v>
      </c>
      <c r="AA3" s="185" t="s">
        <v>98</v>
      </c>
      <c r="AB3" s="185" t="s">
        <v>99</v>
      </c>
      <c r="AC3" s="185" t="s">
        <v>100</v>
      </c>
      <c r="AD3" s="185" t="s">
        <v>101</v>
      </c>
      <c r="AE3" s="185" t="s">
        <v>102</v>
      </c>
      <c r="AF3" s="185" t="s">
        <v>103</v>
      </c>
      <c r="AG3" s="185" t="s">
        <v>104</v>
      </c>
      <c r="AH3" s="185" t="s">
        <v>105</v>
      </c>
      <c r="AI3" s="185" t="s">
        <v>106</v>
      </c>
      <c r="AJ3" s="185" t="s">
        <v>107</v>
      </c>
      <c r="AK3" s="185" t="s">
        <v>108</v>
      </c>
      <c r="AL3" s="185" t="s">
        <v>109</v>
      </c>
      <c r="AM3" s="185" t="s">
        <v>110</v>
      </c>
      <c r="AN3" s="185" t="s">
        <v>111</v>
      </c>
      <c r="AO3" s="185" t="s">
        <v>112</v>
      </c>
      <c r="AP3" s="185" t="s">
        <v>113</v>
      </c>
      <c r="AQ3" s="185" t="s">
        <v>114</v>
      </c>
      <c r="AR3" s="185" t="s">
        <v>115</v>
      </c>
      <c r="AS3" s="185" t="s">
        <v>116</v>
      </c>
      <c r="AT3" s="185" t="s">
        <v>117</v>
      </c>
      <c r="AU3" s="185" t="s">
        <v>118</v>
      </c>
      <c r="AV3" s="185" t="s">
        <v>119</v>
      </c>
      <c r="AW3" s="185" t="s">
        <v>120</v>
      </c>
      <c r="AX3" s="185" t="s">
        <v>121</v>
      </c>
      <c r="AY3" s="185" t="s">
        <v>122</v>
      </c>
      <c r="AZ3" s="185" t="s">
        <v>123</v>
      </c>
      <c r="BA3" s="185" t="s">
        <v>124</v>
      </c>
      <c r="BB3" s="185" t="s">
        <v>125</v>
      </c>
      <c r="BC3" s="185" t="s">
        <v>126</v>
      </c>
      <c r="BD3" s="185" t="s">
        <v>127</v>
      </c>
      <c r="BE3" s="185" t="s">
        <v>128</v>
      </c>
      <c r="BF3" s="185" t="s">
        <v>129</v>
      </c>
      <c r="BG3" s="185" t="s">
        <v>130</v>
      </c>
      <c r="BH3" s="185" t="s">
        <v>131</v>
      </c>
      <c r="BI3" s="185" t="s">
        <v>132</v>
      </c>
      <c r="BJ3" s="185" t="s">
        <v>133</v>
      </c>
      <c r="BK3" s="185" t="s">
        <v>134</v>
      </c>
      <c r="BL3" s="185"/>
      <c r="BM3" s="185"/>
      <c r="BN3" s="185"/>
      <c r="BO3" s="185"/>
      <c r="BP3" s="185"/>
      <c r="BQ3" s="185"/>
      <c r="BR3" s="185"/>
      <c r="BS3" s="185"/>
      <c r="BT3" s="185"/>
      <c r="BU3" s="185"/>
      <c r="BV3" s="185"/>
      <c r="BW3" s="185"/>
      <c r="BX3" s="185"/>
      <c r="BY3" s="185"/>
      <c r="BZ3" s="185"/>
      <c r="CA3" s="185"/>
      <c r="CB3" s="185"/>
      <c r="CC3" s="185"/>
      <c r="CD3" s="185"/>
      <c r="CE3" s="185"/>
    </row>
    <row r="4" spans="1:83" ht="14.4" x14ac:dyDescent="0.3">
      <c r="B4" s="186"/>
      <c r="C4" s="187">
        <v>45536</v>
      </c>
      <c r="D4" s="187">
        <f t="shared" ref="D4:BK4" si="1">+EDATE(C4,1)</f>
        <v>45566</v>
      </c>
      <c r="E4" s="187">
        <f t="shared" si="1"/>
        <v>45597</v>
      </c>
      <c r="F4" s="187">
        <f t="shared" si="1"/>
        <v>45627</v>
      </c>
      <c r="G4" s="187">
        <f t="shared" si="1"/>
        <v>45658</v>
      </c>
      <c r="H4" s="187">
        <f t="shared" si="1"/>
        <v>45689</v>
      </c>
      <c r="I4" s="187">
        <f t="shared" si="1"/>
        <v>45717</v>
      </c>
      <c r="J4" s="187">
        <f t="shared" si="1"/>
        <v>45748</v>
      </c>
      <c r="K4" s="187">
        <f t="shared" si="1"/>
        <v>45778</v>
      </c>
      <c r="L4" s="187">
        <f t="shared" si="1"/>
        <v>45809</v>
      </c>
      <c r="M4" s="187">
        <f t="shared" si="1"/>
        <v>45839</v>
      </c>
      <c r="N4" s="187">
        <f t="shared" si="1"/>
        <v>45870</v>
      </c>
      <c r="O4" s="187">
        <f t="shared" si="1"/>
        <v>45901</v>
      </c>
      <c r="P4" s="187">
        <f t="shared" si="1"/>
        <v>45931</v>
      </c>
      <c r="Q4" s="187">
        <f t="shared" si="1"/>
        <v>45962</v>
      </c>
      <c r="R4" s="187">
        <f t="shared" si="1"/>
        <v>45992</v>
      </c>
      <c r="S4" s="187">
        <f t="shared" si="1"/>
        <v>46023</v>
      </c>
      <c r="T4" s="187">
        <f t="shared" si="1"/>
        <v>46054</v>
      </c>
      <c r="U4" s="187">
        <f t="shared" si="1"/>
        <v>46082</v>
      </c>
      <c r="V4" s="187">
        <f t="shared" si="1"/>
        <v>46113</v>
      </c>
      <c r="W4" s="187">
        <f t="shared" si="1"/>
        <v>46143</v>
      </c>
      <c r="X4" s="187">
        <f t="shared" si="1"/>
        <v>46174</v>
      </c>
      <c r="Y4" s="187">
        <f t="shared" si="1"/>
        <v>46204</v>
      </c>
      <c r="Z4" s="187">
        <f t="shared" si="1"/>
        <v>46235</v>
      </c>
      <c r="AA4" s="187">
        <f t="shared" si="1"/>
        <v>46266</v>
      </c>
      <c r="AB4" s="187">
        <f t="shared" si="1"/>
        <v>46296</v>
      </c>
      <c r="AC4" s="187">
        <f t="shared" si="1"/>
        <v>46327</v>
      </c>
      <c r="AD4" s="187">
        <f t="shared" si="1"/>
        <v>46357</v>
      </c>
      <c r="AE4" s="187">
        <f t="shared" si="1"/>
        <v>46388</v>
      </c>
      <c r="AF4" s="187">
        <f t="shared" si="1"/>
        <v>46419</v>
      </c>
      <c r="AG4" s="187">
        <f t="shared" si="1"/>
        <v>46447</v>
      </c>
      <c r="AH4" s="187">
        <f t="shared" si="1"/>
        <v>46478</v>
      </c>
      <c r="AI4" s="187">
        <f t="shared" si="1"/>
        <v>46508</v>
      </c>
      <c r="AJ4" s="187">
        <f t="shared" si="1"/>
        <v>46539</v>
      </c>
      <c r="AK4" s="187">
        <f t="shared" si="1"/>
        <v>46569</v>
      </c>
      <c r="AL4" s="187">
        <f t="shared" si="1"/>
        <v>46600</v>
      </c>
      <c r="AM4" s="187">
        <f t="shared" si="1"/>
        <v>46631</v>
      </c>
      <c r="AN4" s="187">
        <f t="shared" si="1"/>
        <v>46661</v>
      </c>
      <c r="AO4" s="187">
        <f t="shared" si="1"/>
        <v>46692</v>
      </c>
      <c r="AP4" s="187">
        <f t="shared" si="1"/>
        <v>46722</v>
      </c>
      <c r="AQ4" s="187">
        <f t="shared" si="1"/>
        <v>46753</v>
      </c>
      <c r="AR4" s="187">
        <f t="shared" si="1"/>
        <v>46784</v>
      </c>
      <c r="AS4" s="187">
        <f t="shared" si="1"/>
        <v>46813</v>
      </c>
      <c r="AT4" s="187">
        <f t="shared" si="1"/>
        <v>46844</v>
      </c>
      <c r="AU4" s="187">
        <f t="shared" si="1"/>
        <v>46874</v>
      </c>
      <c r="AV4" s="187">
        <f t="shared" si="1"/>
        <v>46905</v>
      </c>
      <c r="AW4" s="187">
        <f t="shared" si="1"/>
        <v>46935</v>
      </c>
      <c r="AX4" s="187">
        <f t="shared" si="1"/>
        <v>46966</v>
      </c>
      <c r="AY4" s="187">
        <f t="shared" si="1"/>
        <v>46997</v>
      </c>
      <c r="AZ4" s="187">
        <f t="shared" si="1"/>
        <v>47027</v>
      </c>
      <c r="BA4" s="187">
        <f t="shared" si="1"/>
        <v>47058</v>
      </c>
      <c r="BB4" s="187">
        <f t="shared" si="1"/>
        <v>47088</v>
      </c>
      <c r="BC4" s="187">
        <f t="shared" si="1"/>
        <v>47119</v>
      </c>
      <c r="BD4" s="187">
        <f t="shared" si="1"/>
        <v>47150</v>
      </c>
      <c r="BE4" s="187">
        <f t="shared" si="1"/>
        <v>47178</v>
      </c>
      <c r="BF4" s="187">
        <f t="shared" si="1"/>
        <v>47209</v>
      </c>
      <c r="BG4" s="187">
        <f t="shared" si="1"/>
        <v>47239</v>
      </c>
      <c r="BH4" s="187">
        <f t="shared" si="1"/>
        <v>47270</v>
      </c>
      <c r="BI4" s="187">
        <f t="shared" si="1"/>
        <v>47300</v>
      </c>
      <c r="BJ4" s="187">
        <f t="shared" si="1"/>
        <v>47331</v>
      </c>
      <c r="BK4" s="187">
        <f t="shared" si="1"/>
        <v>47362</v>
      </c>
    </row>
    <row r="5" spans="1:83" ht="14.4" outlineLevel="1" x14ac:dyDescent="0.3">
      <c r="A5" s="3"/>
      <c r="B5" s="18" t="s">
        <v>10</v>
      </c>
      <c r="C5" s="188">
        <v>2024</v>
      </c>
      <c r="D5" s="188">
        <v>2025</v>
      </c>
      <c r="E5" s="188">
        <v>2026</v>
      </c>
      <c r="F5" s="188">
        <v>2027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88"/>
      <c r="BG5" s="188"/>
      <c r="BH5" s="188"/>
      <c r="BI5" s="188"/>
      <c r="BJ5" s="188"/>
      <c r="BK5" s="188"/>
      <c r="BL5" s="3"/>
      <c r="BM5" s="3"/>
      <c r="BN5" s="3"/>
      <c r="BO5" s="3"/>
      <c r="BP5" s="3"/>
    </row>
    <row r="6" spans="1:83" ht="14.4" outlineLevel="1" x14ac:dyDescent="0.3">
      <c r="A6" s="10"/>
      <c r="B6" s="189" t="s">
        <v>135</v>
      </c>
      <c r="C6" s="190">
        <v>0</v>
      </c>
      <c r="D6" s="190">
        <v>0</v>
      </c>
      <c r="E6" s="190">
        <v>0</v>
      </c>
      <c r="F6" s="190">
        <v>0</v>
      </c>
      <c r="G6" s="190">
        <v>0</v>
      </c>
      <c r="H6" s="190">
        <v>0</v>
      </c>
      <c r="I6" s="190">
        <v>0</v>
      </c>
      <c r="J6" s="190">
        <v>0</v>
      </c>
      <c r="K6" s="190">
        <v>0</v>
      </c>
      <c r="L6" s="190">
        <v>0</v>
      </c>
      <c r="M6" s="190">
        <v>0</v>
      </c>
      <c r="N6" s="190">
        <v>0</v>
      </c>
      <c r="O6" s="190">
        <v>0</v>
      </c>
      <c r="P6" s="190">
        <v>0</v>
      </c>
      <c r="Q6" s="190">
        <v>0</v>
      </c>
      <c r="R6" s="190">
        <v>0</v>
      </c>
      <c r="S6" s="190">
        <v>0</v>
      </c>
      <c r="T6" s="190">
        <v>0</v>
      </c>
      <c r="U6" s="190">
        <v>0</v>
      </c>
      <c r="V6" s="190">
        <v>10</v>
      </c>
      <c r="W6" s="190">
        <v>10</v>
      </c>
      <c r="X6" s="190">
        <v>10</v>
      </c>
      <c r="Y6" s="190">
        <v>10</v>
      </c>
      <c r="Z6" s="190">
        <v>10</v>
      </c>
      <c r="AA6" s="190">
        <v>15</v>
      </c>
      <c r="AB6" s="190">
        <v>15</v>
      </c>
      <c r="AC6" s="190">
        <v>15</v>
      </c>
      <c r="AD6" s="190">
        <v>15</v>
      </c>
      <c r="AE6" s="190">
        <v>20</v>
      </c>
      <c r="AF6" s="190">
        <v>20</v>
      </c>
      <c r="AG6" s="190">
        <v>20</v>
      </c>
      <c r="AH6" s="190">
        <v>20</v>
      </c>
      <c r="AI6" s="190">
        <v>10</v>
      </c>
      <c r="AJ6" s="190">
        <v>0</v>
      </c>
      <c r="AK6" s="190">
        <v>0</v>
      </c>
      <c r="AL6" s="190">
        <v>0</v>
      </c>
      <c r="AM6" s="190">
        <v>0</v>
      </c>
      <c r="AN6" s="190">
        <v>0</v>
      </c>
      <c r="AO6" s="190">
        <v>0</v>
      </c>
      <c r="AP6" s="190">
        <v>0</v>
      </c>
      <c r="AQ6" s="190">
        <v>0</v>
      </c>
      <c r="AR6" s="190">
        <v>0</v>
      </c>
      <c r="AS6" s="190">
        <v>0</v>
      </c>
      <c r="AT6" s="190">
        <v>0</v>
      </c>
      <c r="AU6" s="190">
        <v>0</v>
      </c>
      <c r="AV6" s="190">
        <v>0</v>
      </c>
      <c r="AW6" s="190">
        <v>0</v>
      </c>
      <c r="AX6" s="190">
        <v>0</v>
      </c>
      <c r="AY6" s="190">
        <v>0</v>
      </c>
      <c r="AZ6" s="190">
        <v>0</v>
      </c>
      <c r="BA6" s="190">
        <v>0</v>
      </c>
      <c r="BB6" s="190">
        <v>0</v>
      </c>
      <c r="BC6" s="190">
        <v>0</v>
      </c>
      <c r="BD6" s="190">
        <v>0</v>
      </c>
      <c r="BE6" s="190">
        <v>0</v>
      </c>
      <c r="BF6" s="190">
        <v>0</v>
      </c>
      <c r="BG6" s="190">
        <v>0</v>
      </c>
      <c r="BH6" s="190">
        <v>0</v>
      </c>
      <c r="BI6" s="190">
        <v>0</v>
      </c>
      <c r="BJ6" s="190">
        <v>0</v>
      </c>
      <c r="BK6" s="190">
        <v>0</v>
      </c>
      <c r="BL6" s="15">
        <f>SUM(C6:BK6)</f>
        <v>200</v>
      </c>
      <c r="BM6" s="10"/>
      <c r="BN6" s="10"/>
      <c r="BO6" s="15"/>
      <c r="BP6" s="10"/>
    </row>
    <row r="7" spans="1:83" ht="14.4" outlineLevel="1" x14ac:dyDescent="0.3">
      <c r="A7" s="10"/>
      <c r="B7" s="191" t="s">
        <v>136</v>
      </c>
      <c r="C7" s="190">
        <f>+C6</f>
        <v>0</v>
      </c>
      <c r="D7" s="190">
        <f t="shared" ref="D7:BK7" si="2">+C7+D6</f>
        <v>0</v>
      </c>
      <c r="E7" s="190">
        <f t="shared" si="2"/>
        <v>0</v>
      </c>
      <c r="F7" s="190">
        <f t="shared" si="2"/>
        <v>0</v>
      </c>
      <c r="G7" s="190">
        <f t="shared" si="2"/>
        <v>0</v>
      </c>
      <c r="H7" s="190">
        <f t="shared" si="2"/>
        <v>0</v>
      </c>
      <c r="I7" s="190">
        <f t="shared" si="2"/>
        <v>0</v>
      </c>
      <c r="J7" s="190">
        <f t="shared" si="2"/>
        <v>0</v>
      </c>
      <c r="K7" s="190">
        <f t="shared" si="2"/>
        <v>0</v>
      </c>
      <c r="L7" s="190">
        <f t="shared" si="2"/>
        <v>0</v>
      </c>
      <c r="M7" s="190">
        <f t="shared" si="2"/>
        <v>0</v>
      </c>
      <c r="N7" s="190">
        <f t="shared" si="2"/>
        <v>0</v>
      </c>
      <c r="O7" s="190">
        <f t="shared" si="2"/>
        <v>0</v>
      </c>
      <c r="P7" s="190">
        <f t="shared" si="2"/>
        <v>0</v>
      </c>
      <c r="Q7" s="190">
        <f t="shared" si="2"/>
        <v>0</v>
      </c>
      <c r="R7" s="190">
        <f t="shared" si="2"/>
        <v>0</v>
      </c>
      <c r="S7" s="190">
        <f t="shared" si="2"/>
        <v>0</v>
      </c>
      <c r="T7" s="190">
        <f t="shared" si="2"/>
        <v>0</v>
      </c>
      <c r="U7" s="190">
        <f t="shared" si="2"/>
        <v>0</v>
      </c>
      <c r="V7" s="190">
        <f t="shared" si="2"/>
        <v>10</v>
      </c>
      <c r="W7" s="190">
        <f t="shared" si="2"/>
        <v>20</v>
      </c>
      <c r="X7" s="190">
        <f t="shared" si="2"/>
        <v>30</v>
      </c>
      <c r="Y7" s="190">
        <f t="shared" si="2"/>
        <v>40</v>
      </c>
      <c r="Z7" s="190">
        <f t="shared" si="2"/>
        <v>50</v>
      </c>
      <c r="AA7" s="190">
        <f t="shared" si="2"/>
        <v>65</v>
      </c>
      <c r="AB7" s="190">
        <f t="shared" si="2"/>
        <v>80</v>
      </c>
      <c r="AC7" s="190">
        <f t="shared" si="2"/>
        <v>95</v>
      </c>
      <c r="AD7" s="190">
        <f t="shared" si="2"/>
        <v>110</v>
      </c>
      <c r="AE7" s="190">
        <f t="shared" si="2"/>
        <v>130</v>
      </c>
      <c r="AF7" s="190">
        <f t="shared" si="2"/>
        <v>150</v>
      </c>
      <c r="AG7" s="190">
        <f t="shared" si="2"/>
        <v>170</v>
      </c>
      <c r="AH7" s="190">
        <f t="shared" si="2"/>
        <v>190</v>
      </c>
      <c r="AI7" s="190">
        <f t="shared" si="2"/>
        <v>200</v>
      </c>
      <c r="AJ7" s="190">
        <f t="shared" si="2"/>
        <v>200</v>
      </c>
      <c r="AK7" s="190">
        <f t="shared" si="2"/>
        <v>200</v>
      </c>
      <c r="AL7" s="190">
        <f t="shared" si="2"/>
        <v>200</v>
      </c>
      <c r="AM7" s="190">
        <f t="shared" si="2"/>
        <v>200</v>
      </c>
      <c r="AN7" s="190">
        <f t="shared" si="2"/>
        <v>200</v>
      </c>
      <c r="AO7" s="190">
        <f t="shared" si="2"/>
        <v>200</v>
      </c>
      <c r="AP7" s="190">
        <f t="shared" si="2"/>
        <v>200</v>
      </c>
      <c r="AQ7" s="190">
        <f t="shared" si="2"/>
        <v>200</v>
      </c>
      <c r="AR7" s="190">
        <f t="shared" si="2"/>
        <v>200</v>
      </c>
      <c r="AS7" s="190">
        <f t="shared" si="2"/>
        <v>200</v>
      </c>
      <c r="AT7" s="190">
        <f t="shared" si="2"/>
        <v>200</v>
      </c>
      <c r="AU7" s="190">
        <f t="shared" si="2"/>
        <v>200</v>
      </c>
      <c r="AV7" s="190">
        <f t="shared" si="2"/>
        <v>200</v>
      </c>
      <c r="AW7" s="190">
        <f t="shared" si="2"/>
        <v>200</v>
      </c>
      <c r="AX7" s="190">
        <f t="shared" si="2"/>
        <v>200</v>
      </c>
      <c r="AY7" s="190">
        <f t="shared" si="2"/>
        <v>200</v>
      </c>
      <c r="AZ7" s="190">
        <f t="shared" si="2"/>
        <v>200</v>
      </c>
      <c r="BA7" s="190">
        <f t="shared" si="2"/>
        <v>200</v>
      </c>
      <c r="BB7" s="190">
        <f t="shared" si="2"/>
        <v>200</v>
      </c>
      <c r="BC7" s="190">
        <f t="shared" si="2"/>
        <v>200</v>
      </c>
      <c r="BD7" s="190">
        <f t="shared" si="2"/>
        <v>200</v>
      </c>
      <c r="BE7" s="190">
        <f t="shared" si="2"/>
        <v>200</v>
      </c>
      <c r="BF7" s="190">
        <f t="shared" si="2"/>
        <v>200</v>
      </c>
      <c r="BG7" s="190">
        <f t="shared" si="2"/>
        <v>200</v>
      </c>
      <c r="BH7" s="190">
        <f t="shared" si="2"/>
        <v>200</v>
      </c>
      <c r="BI7" s="190">
        <f t="shared" si="2"/>
        <v>200</v>
      </c>
      <c r="BJ7" s="190">
        <f t="shared" si="2"/>
        <v>200</v>
      </c>
      <c r="BK7" s="190">
        <f t="shared" si="2"/>
        <v>200</v>
      </c>
      <c r="BL7" s="10"/>
      <c r="BM7" s="10"/>
      <c r="BN7" s="10"/>
      <c r="BO7" s="15"/>
      <c r="BP7" s="10"/>
    </row>
    <row r="8" spans="1:83" ht="14.4" outlineLevel="1" x14ac:dyDescent="0.3">
      <c r="A8" s="10"/>
      <c r="B8" s="90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  <c r="BG8" s="192"/>
      <c r="BH8" s="192"/>
      <c r="BI8" s="192"/>
      <c r="BJ8" s="192"/>
      <c r="BK8" s="192"/>
      <c r="BL8" s="10"/>
      <c r="BM8" s="10"/>
      <c r="BN8" s="10"/>
      <c r="BO8" s="15"/>
      <c r="BP8" s="10"/>
    </row>
    <row r="9" spans="1:83" ht="14.4" outlineLevel="1" x14ac:dyDescent="0.3">
      <c r="A9" s="3"/>
      <c r="B9" s="18" t="s">
        <v>14</v>
      </c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8"/>
      <c r="BG9" s="188"/>
      <c r="BH9" s="188"/>
      <c r="BI9" s="188"/>
      <c r="BJ9" s="188"/>
      <c r="BK9" s="188"/>
      <c r="BL9" s="3"/>
      <c r="BM9" s="3"/>
      <c r="BN9" s="3"/>
      <c r="BO9" s="3"/>
      <c r="BP9" s="3"/>
    </row>
    <row r="10" spans="1:83" ht="14.4" outlineLevel="1" x14ac:dyDescent="0.3">
      <c r="A10" s="10"/>
      <c r="B10" s="189" t="s">
        <v>135</v>
      </c>
      <c r="C10" s="190">
        <v>0</v>
      </c>
      <c r="D10" s="190">
        <v>0</v>
      </c>
      <c r="E10" s="190">
        <v>0</v>
      </c>
      <c r="F10" s="190">
        <v>0</v>
      </c>
      <c r="G10" s="190">
        <v>0</v>
      </c>
      <c r="H10" s="190">
        <v>0</v>
      </c>
      <c r="I10" s="190">
        <v>0</v>
      </c>
      <c r="J10" s="190">
        <v>0</v>
      </c>
      <c r="K10" s="190">
        <v>0</v>
      </c>
      <c r="L10" s="190">
        <v>0</v>
      </c>
      <c r="M10" s="190">
        <v>0</v>
      </c>
      <c r="N10" s="190">
        <v>0</v>
      </c>
      <c r="O10" s="190">
        <v>0</v>
      </c>
      <c r="P10" s="190">
        <v>0</v>
      </c>
      <c r="Q10" s="190">
        <v>0</v>
      </c>
      <c r="R10" s="190">
        <v>0</v>
      </c>
      <c r="S10" s="190">
        <v>0</v>
      </c>
      <c r="T10" s="190">
        <v>0</v>
      </c>
      <c r="U10" s="190">
        <v>0</v>
      </c>
      <c r="V10" s="190">
        <v>0</v>
      </c>
      <c r="W10" s="190">
        <v>0</v>
      </c>
      <c r="X10" s="190">
        <v>0</v>
      </c>
      <c r="Y10" s="190">
        <v>0</v>
      </c>
      <c r="Z10" s="190">
        <v>0</v>
      </c>
      <c r="AA10" s="190">
        <v>0</v>
      </c>
      <c r="AB10" s="190">
        <v>0</v>
      </c>
      <c r="AC10" s="190">
        <v>0</v>
      </c>
      <c r="AD10" s="190">
        <v>0</v>
      </c>
      <c r="AE10" s="190">
        <v>0</v>
      </c>
      <c r="AF10" s="190">
        <v>0</v>
      </c>
      <c r="AG10" s="190">
        <v>0</v>
      </c>
      <c r="AH10" s="190">
        <v>0</v>
      </c>
      <c r="AI10" s="190">
        <v>0</v>
      </c>
      <c r="AJ10" s="190">
        <v>10</v>
      </c>
      <c r="AK10" s="190">
        <v>10</v>
      </c>
      <c r="AL10" s="190">
        <v>10</v>
      </c>
      <c r="AM10" s="190">
        <v>10</v>
      </c>
      <c r="AN10" s="190">
        <v>10</v>
      </c>
      <c r="AO10" s="190">
        <v>23</v>
      </c>
      <c r="AP10" s="190">
        <v>30</v>
      </c>
      <c r="AQ10" s="190">
        <v>30</v>
      </c>
      <c r="AR10" s="190">
        <v>30</v>
      </c>
      <c r="AS10" s="190">
        <v>30</v>
      </c>
      <c r="AT10" s="190">
        <v>30</v>
      </c>
      <c r="AU10" s="190">
        <v>17</v>
      </c>
      <c r="AV10" s="190">
        <v>20</v>
      </c>
      <c r="AW10" s="190">
        <v>20</v>
      </c>
      <c r="AX10" s="190">
        <v>0</v>
      </c>
      <c r="AY10" s="190">
        <v>0</v>
      </c>
      <c r="AZ10" s="190">
        <v>0</v>
      </c>
      <c r="BA10" s="190">
        <v>0</v>
      </c>
      <c r="BB10" s="190">
        <v>0</v>
      </c>
      <c r="BC10" s="190">
        <v>0</v>
      </c>
      <c r="BD10" s="190">
        <v>0</v>
      </c>
      <c r="BE10" s="190">
        <v>0</v>
      </c>
      <c r="BF10" s="190">
        <v>0</v>
      </c>
      <c r="BG10" s="190">
        <v>0</v>
      </c>
      <c r="BH10" s="190">
        <v>0</v>
      </c>
      <c r="BI10" s="190">
        <v>0</v>
      </c>
      <c r="BJ10" s="190">
        <v>0</v>
      </c>
      <c r="BK10" s="190">
        <v>0</v>
      </c>
      <c r="BL10" s="15">
        <f>SUM(C10:BK10)</f>
        <v>280</v>
      </c>
      <c r="BM10" s="10"/>
      <c r="BN10" s="10"/>
      <c r="BO10" s="15"/>
      <c r="BP10" s="10"/>
      <c r="BQ10" s="6"/>
    </row>
    <row r="11" spans="1:83" ht="14.4" outlineLevel="1" x14ac:dyDescent="0.3">
      <c r="A11" s="10"/>
      <c r="B11" s="191" t="s">
        <v>136</v>
      </c>
      <c r="C11" s="190">
        <f>+C10</f>
        <v>0</v>
      </c>
      <c r="D11" s="190">
        <f t="shared" ref="D11:BK11" si="3">+C11+D10</f>
        <v>0</v>
      </c>
      <c r="E11" s="190">
        <f t="shared" si="3"/>
        <v>0</v>
      </c>
      <c r="F11" s="190">
        <f t="shared" si="3"/>
        <v>0</v>
      </c>
      <c r="G11" s="190">
        <f t="shared" si="3"/>
        <v>0</v>
      </c>
      <c r="H11" s="190">
        <f t="shared" si="3"/>
        <v>0</v>
      </c>
      <c r="I11" s="190">
        <f t="shared" si="3"/>
        <v>0</v>
      </c>
      <c r="J11" s="190">
        <f t="shared" si="3"/>
        <v>0</v>
      </c>
      <c r="K11" s="190">
        <f t="shared" si="3"/>
        <v>0</v>
      </c>
      <c r="L11" s="190">
        <f t="shared" si="3"/>
        <v>0</v>
      </c>
      <c r="M11" s="190">
        <f t="shared" si="3"/>
        <v>0</v>
      </c>
      <c r="N11" s="190">
        <f t="shared" si="3"/>
        <v>0</v>
      </c>
      <c r="O11" s="190">
        <f t="shared" si="3"/>
        <v>0</v>
      </c>
      <c r="P11" s="190">
        <f t="shared" si="3"/>
        <v>0</v>
      </c>
      <c r="Q11" s="190">
        <f t="shared" si="3"/>
        <v>0</v>
      </c>
      <c r="R11" s="190">
        <f t="shared" si="3"/>
        <v>0</v>
      </c>
      <c r="S11" s="190">
        <f t="shared" si="3"/>
        <v>0</v>
      </c>
      <c r="T11" s="190">
        <f t="shared" si="3"/>
        <v>0</v>
      </c>
      <c r="U11" s="190">
        <f t="shared" si="3"/>
        <v>0</v>
      </c>
      <c r="V11" s="190">
        <f t="shared" si="3"/>
        <v>0</v>
      </c>
      <c r="W11" s="190">
        <f t="shared" si="3"/>
        <v>0</v>
      </c>
      <c r="X11" s="190">
        <f t="shared" si="3"/>
        <v>0</v>
      </c>
      <c r="Y11" s="190">
        <f t="shared" si="3"/>
        <v>0</v>
      </c>
      <c r="Z11" s="190">
        <f t="shared" si="3"/>
        <v>0</v>
      </c>
      <c r="AA11" s="190">
        <f t="shared" si="3"/>
        <v>0</v>
      </c>
      <c r="AB11" s="190">
        <f t="shared" si="3"/>
        <v>0</v>
      </c>
      <c r="AC11" s="190">
        <f t="shared" si="3"/>
        <v>0</v>
      </c>
      <c r="AD11" s="190">
        <f t="shared" si="3"/>
        <v>0</v>
      </c>
      <c r="AE11" s="190">
        <f t="shared" si="3"/>
        <v>0</v>
      </c>
      <c r="AF11" s="190">
        <f t="shared" si="3"/>
        <v>0</v>
      </c>
      <c r="AG11" s="190">
        <f t="shared" si="3"/>
        <v>0</v>
      </c>
      <c r="AH11" s="190">
        <f t="shared" si="3"/>
        <v>0</v>
      </c>
      <c r="AI11" s="190">
        <f t="shared" si="3"/>
        <v>0</v>
      </c>
      <c r="AJ11" s="190">
        <f t="shared" si="3"/>
        <v>10</v>
      </c>
      <c r="AK11" s="190">
        <f t="shared" si="3"/>
        <v>20</v>
      </c>
      <c r="AL11" s="190">
        <f t="shared" si="3"/>
        <v>30</v>
      </c>
      <c r="AM11" s="190">
        <f t="shared" si="3"/>
        <v>40</v>
      </c>
      <c r="AN11" s="190">
        <f t="shared" si="3"/>
        <v>50</v>
      </c>
      <c r="AO11" s="190">
        <f t="shared" si="3"/>
        <v>73</v>
      </c>
      <c r="AP11" s="190">
        <f t="shared" si="3"/>
        <v>103</v>
      </c>
      <c r="AQ11" s="190">
        <f t="shared" si="3"/>
        <v>133</v>
      </c>
      <c r="AR11" s="190">
        <f t="shared" si="3"/>
        <v>163</v>
      </c>
      <c r="AS11" s="190">
        <f t="shared" si="3"/>
        <v>193</v>
      </c>
      <c r="AT11" s="190">
        <f t="shared" si="3"/>
        <v>223</v>
      </c>
      <c r="AU11" s="190">
        <f t="shared" si="3"/>
        <v>240</v>
      </c>
      <c r="AV11" s="190">
        <f t="shared" si="3"/>
        <v>260</v>
      </c>
      <c r="AW11" s="190">
        <f t="shared" si="3"/>
        <v>280</v>
      </c>
      <c r="AX11" s="190">
        <f t="shared" si="3"/>
        <v>280</v>
      </c>
      <c r="AY11" s="190">
        <f t="shared" si="3"/>
        <v>280</v>
      </c>
      <c r="AZ11" s="190">
        <f t="shared" si="3"/>
        <v>280</v>
      </c>
      <c r="BA11" s="190">
        <f t="shared" si="3"/>
        <v>280</v>
      </c>
      <c r="BB11" s="190">
        <f t="shared" si="3"/>
        <v>280</v>
      </c>
      <c r="BC11" s="190">
        <f t="shared" si="3"/>
        <v>280</v>
      </c>
      <c r="BD11" s="190">
        <f t="shared" si="3"/>
        <v>280</v>
      </c>
      <c r="BE11" s="190">
        <f t="shared" si="3"/>
        <v>280</v>
      </c>
      <c r="BF11" s="190">
        <f t="shared" si="3"/>
        <v>280</v>
      </c>
      <c r="BG11" s="190">
        <f t="shared" si="3"/>
        <v>280</v>
      </c>
      <c r="BH11" s="190">
        <f t="shared" si="3"/>
        <v>280</v>
      </c>
      <c r="BI11" s="190">
        <f t="shared" si="3"/>
        <v>280</v>
      </c>
      <c r="BJ11" s="190">
        <f t="shared" si="3"/>
        <v>280</v>
      </c>
      <c r="BK11" s="190">
        <f t="shared" si="3"/>
        <v>280</v>
      </c>
      <c r="BL11" s="10"/>
      <c r="BM11" s="10"/>
      <c r="BN11" s="10"/>
      <c r="BO11" s="15"/>
      <c r="BP11" s="10"/>
      <c r="BQ11" s="6"/>
    </row>
    <row r="12" spans="1:83" ht="14.4" outlineLevel="1" x14ac:dyDescent="0.3">
      <c r="A12" s="10"/>
      <c r="B12" s="90"/>
      <c r="C12" s="192">
        <v>0</v>
      </c>
      <c r="D12" s="192">
        <v>0</v>
      </c>
      <c r="E12" s="192">
        <v>0</v>
      </c>
      <c r="F12" s="192">
        <v>0</v>
      </c>
      <c r="G12" s="192">
        <v>0</v>
      </c>
      <c r="H12" s="192">
        <v>0</v>
      </c>
      <c r="I12" s="192">
        <v>0</v>
      </c>
      <c r="J12" s="192">
        <v>0</v>
      </c>
      <c r="K12" s="192">
        <v>0</v>
      </c>
      <c r="L12" s="192">
        <v>0</v>
      </c>
      <c r="M12" s="192">
        <v>0</v>
      </c>
      <c r="N12" s="192">
        <v>0</v>
      </c>
      <c r="O12" s="192">
        <v>0</v>
      </c>
      <c r="P12" s="192">
        <v>0</v>
      </c>
      <c r="Q12" s="192">
        <v>0</v>
      </c>
      <c r="R12" s="192">
        <v>0</v>
      </c>
      <c r="S12" s="192">
        <v>0</v>
      </c>
      <c r="T12" s="192">
        <v>0</v>
      </c>
      <c r="U12" s="192">
        <v>0</v>
      </c>
      <c r="V12" s="192">
        <v>0</v>
      </c>
      <c r="W12" s="192">
        <v>0</v>
      </c>
      <c r="X12" s="192">
        <v>0</v>
      </c>
      <c r="Y12" s="192">
        <v>0</v>
      </c>
      <c r="Z12" s="192">
        <v>0</v>
      </c>
      <c r="AA12" s="192">
        <v>0</v>
      </c>
      <c r="AB12" s="192">
        <v>0</v>
      </c>
      <c r="AC12" s="192">
        <v>0</v>
      </c>
      <c r="AD12" s="192">
        <v>0</v>
      </c>
      <c r="AE12" s="192">
        <v>0</v>
      </c>
      <c r="AF12" s="192">
        <v>0</v>
      </c>
      <c r="AG12" s="192">
        <v>0</v>
      </c>
      <c r="AH12" s="192">
        <v>0</v>
      </c>
      <c r="AI12" s="192">
        <v>0</v>
      </c>
      <c r="AJ12" s="192">
        <v>3.5714285714285712E-2</v>
      </c>
      <c r="AK12" s="192">
        <v>7.1428571428571425E-2</v>
      </c>
      <c r="AL12" s="192">
        <v>0.10714285714285714</v>
      </c>
      <c r="AM12" s="192">
        <v>0.14285714285714285</v>
      </c>
      <c r="AN12" s="192">
        <v>0.17857142857142858</v>
      </c>
      <c r="AO12" s="192">
        <v>0.26071428571428573</v>
      </c>
      <c r="AP12" s="192">
        <v>0.36785714285714288</v>
      </c>
      <c r="AQ12" s="192">
        <v>0.47499999999999998</v>
      </c>
      <c r="AR12" s="192">
        <v>0.58214285714285718</v>
      </c>
      <c r="AS12" s="192">
        <v>0.68928571428571428</v>
      </c>
      <c r="AT12" s="192">
        <v>0.79642857142857137</v>
      </c>
      <c r="AU12" s="192">
        <v>0.8571428571428571</v>
      </c>
      <c r="AV12" s="192">
        <v>0.9285714285714286</v>
      </c>
      <c r="AW12" s="192">
        <v>1</v>
      </c>
      <c r="AX12" s="192">
        <v>1</v>
      </c>
      <c r="AY12" s="192">
        <v>1</v>
      </c>
      <c r="AZ12" s="192">
        <v>1</v>
      </c>
      <c r="BA12" s="192">
        <v>1</v>
      </c>
      <c r="BB12" s="192">
        <v>1</v>
      </c>
      <c r="BC12" s="192">
        <v>1</v>
      </c>
      <c r="BD12" s="192">
        <v>1</v>
      </c>
      <c r="BE12" s="192">
        <v>1</v>
      </c>
      <c r="BF12" s="192">
        <v>1</v>
      </c>
      <c r="BG12" s="192">
        <v>1</v>
      </c>
      <c r="BH12" s="192">
        <v>1</v>
      </c>
      <c r="BI12" s="192">
        <v>1</v>
      </c>
      <c r="BJ12" s="192">
        <v>1</v>
      </c>
      <c r="BK12" s="192">
        <v>1</v>
      </c>
      <c r="BL12" s="10"/>
      <c r="BM12" s="10"/>
      <c r="BN12" s="10"/>
      <c r="BO12" s="15"/>
      <c r="BP12" s="10"/>
      <c r="BQ12" s="6"/>
    </row>
    <row r="13" spans="1:83" ht="14.4" outlineLevel="1" x14ac:dyDescent="0.3">
      <c r="B13" s="79" t="s">
        <v>137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200000</v>
      </c>
      <c r="W13" s="6">
        <v>200000</v>
      </c>
      <c r="X13" s="6">
        <v>200000</v>
      </c>
      <c r="Y13" s="6">
        <v>200000</v>
      </c>
      <c r="Z13" s="6">
        <v>200000</v>
      </c>
      <c r="AA13" s="6">
        <v>300000</v>
      </c>
      <c r="AB13" s="6">
        <v>300000</v>
      </c>
      <c r="AC13" s="6">
        <v>300000</v>
      </c>
      <c r="AD13" s="6">
        <v>300000</v>
      </c>
      <c r="AE13" s="6">
        <v>400000</v>
      </c>
      <c r="AF13" s="6">
        <v>400000</v>
      </c>
      <c r="AG13" s="6">
        <v>600000</v>
      </c>
      <c r="AH13" s="6">
        <v>800000</v>
      </c>
      <c r="AI13" s="6">
        <v>400000</v>
      </c>
      <c r="AJ13" s="6">
        <v>200000</v>
      </c>
      <c r="AK13" s="6">
        <v>200000</v>
      </c>
      <c r="AL13" s="6">
        <v>200000</v>
      </c>
      <c r="AM13" s="6">
        <v>200000</v>
      </c>
      <c r="AN13" s="6">
        <v>200000</v>
      </c>
      <c r="AO13" s="6">
        <v>460000</v>
      </c>
      <c r="AP13" s="6">
        <v>600000</v>
      </c>
      <c r="AQ13" s="6">
        <v>600000</v>
      </c>
      <c r="AR13" s="6">
        <v>600000</v>
      </c>
      <c r="AS13" s="6">
        <v>600000</v>
      </c>
      <c r="AT13" s="6">
        <v>600000</v>
      </c>
      <c r="AU13" s="6">
        <v>340000</v>
      </c>
      <c r="AV13" s="6">
        <v>400000</v>
      </c>
      <c r="AW13" s="6">
        <v>400000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f t="shared" ref="BL13:BL17" si="4">SUM(C13:BK13)</f>
        <v>10400000</v>
      </c>
      <c r="BM13" s="6">
        <f>+BL14+BL13+BL15+BL16</f>
        <v>1660800000</v>
      </c>
      <c r="BN13" s="6"/>
      <c r="BO13" s="6"/>
      <c r="BP13" s="6"/>
      <c r="BQ13" s="6"/>
    </row>
    <row r="14" spans="1:83" ht="14.4" outlineLevel="1" x14ac:dyDescent="0.3">
      <c r="B14" s="79" t="s">
        <v>138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300000</v>
      </c>
      <c r="X14" s="6">
        <v>423000</v>
      </c>
      <c r="Y14" s="6">
        <v>559666.66666666651</v>
      </c>
      <c r="Z14" s="6">
        <v>713416.66666666651</v>
      </c>
      <c r="AA14" s="6">
        <v>871559.52380952379</v>
      </c>
      <c r="AB14" s="6">
        <v>1197273.809523809</v>
      </c>
      <c r="AC14" s="6">
        <v>1501845.2380952376</v>
      </c>
      <c r="AD14" s="6">
        <v>1809345.2380952379</v>
      </c>
      <c r="AE14" s="6">
        <v>2178345.2380952379</v>
      </c>
      <c r="AF14" s="6">
        <v>2703495.2380952379</v>
      </c>
      <c r="AG14" s="6">
        <v>3106195.2380952379</v>
      </c>
      <c r="AH14" s="6">
        <v>3072635.7142857146</v>
      </c>
      <c r="AI14" s="6">
        <v>3404421.4285714286</v>
      </c>
      <c r="AJ14" s="6">
        <v>3399600</v>
      </c>
      <c r="AK14" s="6">
        <v>2952700</v>
      </c>
      <c r="AL14" s="6">
        <v>1990318.1818181816</v>
      </c>
      <c r="AM14" s="6">
        <v>862818.18181818177</v>
      </c>
      <c r="AN14" s="6">
        <v>671484.84848484863</v>
      </c>
      <c r="AO14" s="6">
        <v>825234.84848484863</v>
      </c>
      <c r="AP14" s="6">
        <v>1386556.2770562768</v>
      </c>
      <c r="AQ14" s="6">
        <v>2000699.1341991331</v>
      </c>
      <c r="AR14" s="6">
        <v>2595199.1341991336</v>
      </c>
      <c r="AS14" s="6">
        <v>3210199.1341991336</v>
      </c>
      <c r="AT14" s="6">
        <v>3870299.1341991331</v>
      </c>
      <c r="AU14" s="6">
        <v>4604199.1341991331</v>
      </c>
      <c r="AV14" s="6">
        <v>4952199.1341991331</v>
      </c>
      <c r="AW14" s="6">
        <v>4899142.8571428563</v>
      </c>
      <c r="AX14" s="6">
        <v>4607750</v>
      </c>
      <c r="AY14" s="6">
        <v>3819150</v>
      </c>
      <c r="AZ14" s="6">
        <v>2716250</v>
      </c>
      <c r="BA14" s="6">
        <v>1435000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f t="shared" si="4"/>
        <v>72640000</v>
      </c>
      <c r="BM14" s="6"/>
      <c r="BN14" s="73"/>
      <c r="BO14" s="6"/>
      <c r="BQ14" s="6"/>
    </row>
    <row r="15" spans="1:83" ht="14.4" outlineLevel="1" x14ac:dyDescent="0.3">
      <c r="B15" s="79" t="s">
        <v>139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34875000</v>
      </c>
      <c r="AK15" s="6">
        <v>34875000</v>
      </c>
      <c r="AL15" s="6">
        <v>34875000</v>
      </c>
      <c r="AM15" s="6">
        <v>34875000</v>
      </c>
      <c r="AN15" s="6">
        <v>34875000</v>
      </c>
      <c r="AO15" s="6">
        <v>34875000</v>
      </c>
      <c r="AP15" s="6">
        <v>34875000</v>
      </c>
      <c r="AQ15" s="6">
        <v>34875000</v>
      </c>
      <c r="AR15" s="6">
        <v>34875000</v>
      </c>
      <c r="AS15" s="6">
        <v>34875000</v>
      </c>
      <c r="AT15" s="6">
        <v>34875000</v>
      </c>
      <c r="AU15" s="6">
        <v>34875000</v>
      </c>
      <c r="AV15" s="6">
        <v>34875000</v>
      </c>
      <c r="AW15" s="6">
        <v>58125000</v>
      </c>
      <c r="AX15" s="6">
        <v>46500000</v>
      </c>
      <c r="AY15" s="6">
        <v>46500000</v>
      </c>
      <c r="AZ15" s="6">
        <v>46500000</v>
      </c>
      <c r="BA15" s="6">
        <v>46500000</v>
      </c>
      <c r="BB15" s="6">
        <v>46500000</v>
      </c>
      <c r="BC15" s="6">
        <v>46500000</v>
      </c>
      <c r="BD15" s="6">
        <v>46500000</v>
      </c>
      <c r="BE15" s="6">
        <v>46500000</v>
      </c>
      <c r="BF15" s="6">
        <v>46500000</v>
      </c>
      <c r="BG15" s="6">
        <v>46500000</v>
      </c>
      <c r="BH15" s="6">
        <v>69750000</v>
      </c>
      <c r="BI15" s="6">
        <v>69750000</v>
      </c>
      <c r="BJ15" s="6">
        <v>0</v>
      </c>
      <c r="BK15" s="6">
        <v>0</v>
      </c>
      <c r="BL15" s="6">
        <f t="shared" si="4"/>
        <v>1116000000</v>
      </c>
      <c r="BM15" s="6"/>
      <c r="BN15" s="6"/>
      <c r="BO15" s="6"/>
      <c r="BP15" s="3"/>
      <c r="BQ15" s="6"/>
    </row>
    <row r="16" spans="1:83" ht="14.4" outlineLevel="1" x14ac:dyDescent="0.3">
      <c r="B16" s="79" t="s">
        <v>140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14430000</v>
      </c>
      <c r="AK16" s="6">
        <v>14430000</v>
      </c>
      <c r="AL16" s="6">
        <v>14430000</v>
      </c>
      <c r="AM16" s="6">
        <v>14430000</v>
      </c>
      <c r="AN16" s="6">
        <v>14430000</v>
      </c>
      <c r="AO16" s="6">
        <v>14430000</v>
      </c>
      <c r="AP16" s="6">
        <v>14430000</v>
      </c>
      <c r="AQ16" s="6">
        <v>14430000</v>
      </c>
      <c r="AR16" s="6">
        <v>14430000</v>
      </c>
      <c r="AS16" s="6">
        <v>14430000</v>
      </c>
      <c r="AT16" s="6">
        <v>14430000</v>
      </c>
      <c r="AU16" s="6">
        <v>14430000</v>
      </c>
      <c r="AV16" s="6">
        <v>14430000</v>
      </c>
      <c r="AW16" s="6">
        <v>24050000</v>
      </c>
      <c r="AX16" s="6">
        <v>19240000</v>
      </c>
      <c r="AY16" s="6">
        <v>19240000</v>
      </c>
      <c r="AZ16" s="6">
        <v>19240000</v>
      </c>
      <c r="BA16" s="6">
        <v>19240000</v>
      </c>
      <c r="BB16" s="6">
        <v>19240000</v>
      </c>
      <c r="BC16" s="6">
        <v>19240000</v>
      </c>
      <c r="BD16" s="6">
        <v>19240000</v>
      </c>
      <c r="BE16" s="6">
        <v>19240000</v>
      </c>
      <c r="BF16" s="6">
        <v>19240000</v>
      </c>
      <c r="BG16" s="6">
        <v>19240000</v>
      </c>
      <c r="BH16" s="6">
        <v>28860000</v>
      </c>
      <c r="BI16" s="6">
        <v>28860000</v>
      </c>
      <c r="BJ16" s="6">
        <v>0</v>
      </c>
      <c r="BK16" s="6">
        <v>0</v>
      </c>
      <c r="BL16" s="6">
        <f t="shared" si="4"/>
        <v>461760000</v>
      </c>
      <c r="BM16" s="6"/>
      <c r="BN16" s="6"/>
      <c r="BO16" s="6"/>
      <c r="BQ16" s="6"/>
    </row>
    <row r="17" spans="1:83" ht="14.4" outlineLevel="1" x14ac:dyDescent="0.3">
      <c r="A17" s="3"/>
      <c r="B17" s="79" t="s">
        <v>141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81737175.324922755</v>
      </c>
      <c r="AF17" s="6">
        <v>33619606.523362517</v>
      </c>
      <c r="AG17" s="6">
        <v>35405503.424091808</v>
      </c>
      <c r="AH17" s="6">
        <v>32353862.807236772</v>
      </c>
      <c r="AI17" s="6">
        <v>34711949.637401082</v>
      </c>
      <c r="AJ17" s="6">
        <v>41351894.261928231</v>
      </c>
      <c r="AK17" s="6">
        <v>40180676.205907278</v>
      </c>
      <c r="AL17" s="6">
        <v>36994280.875154071</v>
      </c>
      <c r="AM17" s="6">
        <v>42554406.990140274</v>
      </c>
      <c r="AN17" s="6">
        <v>49277030.868128568</v>
      </c>
      <c r="AO17" s="6">
        <v>45361181.882866181</v>
      </c>
      <c r="AP17" s="6">
        <v>38621150.241910346</v>
      </c>
      <c r="AQ17" s="6">
        <v>40678505.996258773</v>
      </c>
      <c r="AR17" s="6">
        <v>35237037.181661986</v>
      </c>
      <c r="AS17" s="6">
        <v>28648077.146512039</v>
      </c>
      <c r="AT17" s="6">
        <v>22379687.004199766</v>
      </c>
      <c r="AU17" s="6">
        <v>13229905.261671582</v>
      </c>
      <c r="AV17" s="6">
        <v>5817327.8866458442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f t="shared" si="4"/>
        <v>658159259.51999974</v>
      </c>
      <c r="BM17" s="6"/>
      <c r="BN17" s="6"/>
      <c r="BO17" s="73"/>
      <c r="BP17" s="3"/>
      <c r="BQ17" s="6"/>
    </row>
    <row r="18" spans="1:83" ht="14.4" x14ac:dyDescent="0.3">
      <c r="B18" s="193" t="s">
        <v>18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>
        <f>SUM(C13:AC17)</f>
        <v>7466761.904761903</v>
      </c>
      <c r="AD18" s="193">
        <f t="shared" ref="AD18:BL18" si="5">SUM(AD13:AD17)</f>
        <v>2109345.2380952379</v>
      </c>
      <c r="AE18" s="193">
        <f t="shared" si="5"/>
        <v>84315520.563017994</v>
      </c>
      <c r="AF18" s="193">
        <f t="shared" si="5"/>
        <v>36723101.761457756</v>
      </c>
      <c r="AG18" s="193">
        <f t="shared" si="5"/>
        <v>39111698.662187047</v>
      </c>
      <c r="AH18" s="193">
        <f t="shared" si="5"/>
        <v>36226498.521522485</v>
      </c>
      <c r="AI18" s="193">
        <f t="shared" si="5"/>
        <v>38516371.065972507</v>
      </c>
      <c r="AJ18" s="193">
        <f t="shared" si="5"/>
        <v>94256494.261928231</v>
      </c>
      <c r="AK18" s="193">
        <f t="shared" si="5"/>
        <v>92638376.205907285</v>
      </c>
      <c r="AL18" s="193">
        <f t="shared" si="5"/>
        <v>88489599.05697225</v>
      </c>
      <c r="AM18" s="193">
        <f t="shared" si="5"/>
        <v>92922225.171958447</v>
      </c>
      <c r="AN18" s="193">
        <f t="shared" si="5"/>
        <v>99453515.716613412</v>
      </c>
      <c r="AO18" s="193">
        <f t="shared" si="5"/>
        <v>95951416.731351033</v>
      </c>
      <c r="AP18" s="193">
        <f t="shared" si="5"/>
        <v>89912706.518966615</v>
      </c>
      <c r="AQ18" s="193">
        <f t="shared" si="5"/>
        <v>92584205.130457908</v>
      </c>
      <c r="AR18" s="193">
        <f t="shared" si="5"/>
        <v>87737236.315861121</v>
      </c>
      <c r="AS18" s="193">
        <f t="shared" si="5"/>
        <v>81763276.280711174</v>
      </c>
      <c r="AT18" s="193">
        <f t="shared" si="5"/>
        <v>76154986.138398901</v>
      </c>
      <c r="AU18" s="193">
        <f t="shared" si="5"/>
        <v>67479104.395870715</v>
      </c>
      <c r="AV18" s="193">
        <f t="shared" si="5"/>
        <v>60474527.020844981</v>
      </c>
      <c r="AW18" s="193">
        <f t="shared" si="5"/>
        <v>87474142.857142866</v>
      </c>
      <c r="AX18" s="193">
        <f t="shared" si="5"/>
        <v>70347750</v>
      </c>
      <c r="AY18" s="193">
        <f t="shared" si="5"/>
        <v>69559150</v>
      </c>
      <c r="AZ18" s="193">
        <f t="shared" si="5"/>
        <v>68456250</v>
      </c>
      <c r="BA18" s="193">
        <f t="shared" si="5"/>
        <v>67175000</v>
      </c>
      <c r="BB18" s="193">
        <f t="shared" si="5"/>
        <v>65740000</v>
      </c>
      <c r="BC18" s="193">
        <f t="shared" si="5"/>
        <v>65740000</v>
      </c>
      <c r="BD18" s="193">
        <f t="shared" si="5"/>
        <v>65740000</v>
      </c>
      <c r="BE18" s="193">
        <f t="shared" si="5"/>
        <v>65740000</v>
      </c>
      <c r="BF18" s="193">
        <f t="shared" si="5"/>
        <v>65740000</v>
      </c>
      <c r="BG18" s="193">
        <f t="shared" si="5"/>
        <v>65740000</v>
      </c>
      <c r="BH18" s="193">
        <f t="shared" si="5"/>
        <v>98610000</v>
      </c>
      <c r="BI18" s="193">
        <f t="shared" si="5"/>
        <v>98610000</v>
      </c>
      <c r="BJ18" s="193">
        <f t="shared" si="5"/>
        <v>0</v>
      </c>
      <c r="BK18" s="193">
        <f t="shared" si="5"/>
        <v>0</v>
      </c>
      <c r="BL18" s="8">
        <f t="shared" si="5"/>
        <v>2318959259.5199995</v>
      </c>
      <c r="BM18" s="8"/>
      <c r="BN18" s="8"/>
      <c r="BO18" s="194"/>
    </row>
    <row r="19" spans="1:83" ht="14.4" x14ac:dyDescent="0.3">
      <c r="B19" s="193" t="s">
        <v>142</v>
      </c>
      <c r="C19" s="193">
        <f>+C18</f>
        <v>0</v>
      </c>
      <c r="D19" s="193">
        <f t="shared" ref="D19:BK19" si="6">+C19+D18</f>
        <v>0</v>
      </c>
      <c r="E19" s="193">
        <f t="shared" si="6"/>
        <v>0</v>
      </c>
      <c r="F19" s="193">
        <f t="shared" si="6"/>
        <v>0</v>
      </c>
      <c r="G19" s="193">
        <f t="shared" si="6"/>
        <v>0</v>
      </c>
      <c r="H19" s="193">
        <f t="shared" si="6"/>
        <v>0</v>
      </c>
      <c r="I19" s="193">
        <f t="shared" si="6"/>
        <v>0</v>
      </c>
      <c r="J19" s="193">
        <f t="shared" si="6"/>
        <v>0</v>
      </c>
      <c r="K19" s="193">
        <f t="shared" si="6"/>
        <v>0</v>
      </c>
      <c r="L19" s="193">
        <f t="shared" si="6"/>
        <v>0</v>
      </c>
      <c r="M19" s="193">
        <f t="shared" si="6"/>
        <v>0</v>
      </c>
      <c r="N19" s="193">
        <f t="shared" si="6"/>
        <v>0</v>
      </c>
      <c r="O19" s="193">
        <f t="shared" si="6"/>
        <v>0</v>
      </c>
      <c r="P19" s="193">
        <f t="shared" si="6"/>
        <v>0</v>
      </c>
      <c r="Q19" s="193">
        <f t="shared" si="6"/>
        <v>0</v>
      </c>
      <c r="R19" s="193">
        <f t="shared" si="6"/>
        <v>0</v>
      </c>
      <c r="S19" s="193">
        <f t="shared" si="6"/>
        <v>0</v>
      </c>
      <c r="T19" s="193">
        <f t="shared" si="6"/>
        <v>0</v>
      </c>
      <c r="U19" s="193">
        <f t="shared" si="6"/>
        <v>0</v>
      </c>
      <c r="V19" s="193">
        <f t="shared" si="6"/>
        <v>0</v>
      </c>
      <c r="W19" s="193">
        <f t="shared" si="6"/>
        <v>0</v>
      </c>
      <c r="X19" s="193">
        <f t="shared" si="6"/>
        <v>0</v>
      </c>
      <c r="Y19" s="193">
        <f t="shared" si="6"/>
        <v>0</v>
      </c>
      <c r="Z19" s="193">
        <f t="shared" si="6"/>
        <v>0</v>
      </c>
      <c r="AA19" s="193">
        <f t="shared" si="6"/>
        <v>0</v>
      </c>
      <c r="AB19" s="193">
        <f t="shared" si="6"/>
        <v>0</v>
      </c>
      <c r="AC19" s="193">
        <f t="shared" si="6"/>
        <v>7466761.904761903</v>
      </c>
      <c r="AD19" s="193">
        <f t="shared" si="6"/>
        <v>9576107.1428571418</v>
      </c>
      <c r="AE19" s="193">
        <f t="shared" si="6"/>
        <v>93891627.705875129</v>
      </c>
      <c r="AF19" s="193">
        <f t="shared" si="6"/>
        <v>130614729.46733288</v>
      </c>
      <c r="AG19" s="193">
        <f t="shared" si="6"/>
        <v>169726428.12951994</v>
      </c>
      <c r="AH19" s="193">
        <f t="shared" si="6"/>
        <v>205952926.65104243</v>
      </c>
      <c r="AI19" s="193">
        <f t="shared" si="6"/>
        <v>244469297.71701494</v>
      </c>
      <c r="AJ19" s="193">
        <f t="shared" si="6"/>
        <v>338725791.97894317</v>
      </c>
      <c r="AK19" s="193">
        <f t="shared" si="6"/>
        <v>431364168.18485045</v>
      </c>
      <c r="AL19" s="193">
        <f t="shared" si="6"/>
        <v>519853767.24182272</v>
      </c>
      <c r="AM19" s="193">
        <f t="shared" si="6"/>
        <v>612775992.41378117</v>
      </c>
      <c r="AN19" s="193">
        <f t="shared" si="6"/>
        <v>712229508.13039458</v>
      </c>
      <c r="AO19" s="193">
        <f t="shared" si="6"/>
        <v>808180924.8617456</v>
      </c>
      <c r="AP19" s="193">
        <f t="shared" si="6"/>
        <v>898093631.38071227</v>
      </c>
      <c r="AQ19" s="193">
        <f t="shared" si="6"/>
        <v>990677836.51117015</v>
      </c>
      <c r="AR19" s="193">
        <f t="shared" si="6"/>
        <v>1078415072.8270314</v>
      </c>
      <c r="AS19" s="193">
        <f t="shared" si="6"/>
        <v>1160178349.1077425</v>
      </c>
      <c r="AT19" s="193">
        <f t="shared" si="6"/>
        <v>1236333335.2461414</v>
      </c>
      <c r="AU19" s="193">
        <f t="shared" si="6"/>
        <v>1303812439.6420121</v>
      </c>
      <c r="AV19" s="193">
        <f t="shared" si="6"/>
        <v>1364286966.6628571</v>
      </c>
      <c r="AW19" s="193">
        <f t="shared" si="6"/>
        <v>1451761109.52</v>
      </c>
      <c r="AX19" s="193">
        <f t="shared" si="6"/>
        <v>1522108859.52</v>
      </c>
      <c r="AY19" s="193">
        <f t="shared" si="6"/>
        <v>1591668009.52</v>
      </c>
      <c r="AZ19" s="193">
        <f t="shared" si="6"/>
        <v>1660124259.52</v>
      </c>
      <c r="BA19" s="193">
        <f t="shared" si="6"/>
        <v>1727299259.52</v>
      </c>
      <c r="BB19" s="193">
        <f t="shared" si="6"/>
        <v>1793039259.52</v>
      </c>
      <c r="BC19" s="193">
        <f t="shared" si="6"/>
        <v>1858779259.52</v>
      </c>
      <c r="BD19" s="193">
        <f t="shared" si="6"/>
        <v>1924519259.52</v>
      </c>
      <c r="BE19" s="193">
        <f t="shared" si="6"/>
        <v>1990259259.52</v>
      </c>
      <c r="BF19" s="193">
        <f t="shared" si="6"/>
        <v>2055999259.52</v>
      </c>
      <c r="BG19" s="193">
        <f t="shared" si="6"/>
        <v>2121739259.52</v>
      </c>
      <c r="BH19" s="193">
        <f t="shared" si="6"/>
        <v>2220349259.52</v>
      </c>
      <c r="BI19" s="193">
        <f t="shared" si="6"/>
        <v>2318959259.52</v>
      </c>
      <c r="BJ19" s="193">
        <f t="shared" si="6"/>
        <v>2318959259.52</v>
      </c>
      <c r="BK19" s="193">
        <f t="shared" si="6"/>
        <v>2318959259.52</v>
      </c>
      <c r="BL19" s="8">
        <f>+BL18-BL17</f>
        <v>1660799999.9999998</v>
      </c>
      <c r="BM19" s="8">
        <v>0</v>
      </c>
      <c r="BN19" s="8"/>
    </row>
    <row r="20" spans="1:83" ht="14.4" x14ac:dyDescent="0.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6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</row>
    <row r="21" spans="1:83" ht="14.4" x14ac:dyDescent="0.3">
      <c r="C21" s="3"/>
      <c r="D21" s="3"/>
      <c r="E21" s="3"/>
      <c r="F21" s="3"/>
      <c r="G21" s="3"/>
      <c r="H21" s="3"/>
      <c r="I21" s="3"/>
      <c r="J21" s="3"/>
      <c r="K21" s="195"/>
      <c r="L21" s="3"/>
      <c r="M21" s="3"/>
      <c r="N21" s="3"/>
      <c r="O21" s="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</row>
    <row r="22" spans="1:83" ht="25.8" x14ac:dyDescent="0.5">
      <c r="B22" s="9" t="s">
        <v>19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</row>
    <row r="23" spans="1:83" ht="15.75" customHeight="1" x14ac:dyDescent="0.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6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</row>
    <row r="24" spans="1:83" ht="15.75" customHeight="1" x14ac:dyDescent="0.3">
      <c r="B24" s="196" t="s">
        <v>22</v>
      </c>
      <c r="C24" s="196"/>
      <c r="D24" s="196"/>
      <c r="E24" s="193"/>
      <c r="F24" s="196"/>
      <c r="G24" s="196"/>
      <c r="H24" s="196"/>
      <c r="I24" s="193"/>
      <c r="J24" s="193"/>
      <c r="K24" s="193"/>
      <c r="L24" s="196"/>
      <c r="M24" s="196"/>
      <c r="N24" s="196"/>
      <c r="O24" s="193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  <c r="AX24" s="196"/>
      <c r="AY24" s="196"/>
      <c r="AZ24" s="196"/>
      <c r="BA24" s="196"/>
      <c r="BB24" s="196"/>
      <c r="BC24" s="196"/>
      <c r="BD24" s="196"/>
      <c r="BE24" s="196"/>
      <c r="BF24" s="196"/>
      <c r="BG24" s="196"/>
      <c r="BH24" s="196"/>
      <c r="BI24" s="196"/>
      <c r="BJ24" s="196"/>
      <c r="BK24" s="196"/>
    </row>
    <row r="25" spans="1:83" ht="15.75" customHeight="1" outlineLevel="1" x14ac:dyDescent="0.3">
      <c r="M25" s="3"/>
      <c r="N25" s="3"/>
      <c r="O25" s="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</row>
    <row r="26" spans="1:83" ht="15.75" customHeight="1" outlineLevel="1" x14ac:dyDescent="0.3">
      <c r="A26" s="6"/>
      <c r="B26" s="6" t="s">
        <v>143</v>
      </c>
      <c r="C26" s="6"/>
      <c r="D26" s="6">
        <v>0</v>
      </c>
      <c r="E26" s="6">
        <v>0</v>
      </c>
      <c r="F26" s="6">
        <v>2500000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2500000</v>
      </c>
      <c r="M26" s="6">
        <v>0</v>
      </c>
      <c r="N26" s="6">
        <v>0</v>
      </c>
      <c r="O26" s="6"/>
      <c r="P26" s="6"/>
      <c r="Q26" s="6"/>
      <c r="R26" s="6"/>
      <c r="S26" s="6"/>
      <c r="T26" s="6"/>
      <c r="W26" s="161"/>
      <c r="X26" s="161">
        <v>74059000</v>
      </c>
      <c r="Y26" s="6"/>
      <c r="Z26" s="6"/>
      <c r="AA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</row>
    <row r="27" spans="1:83" ht="15.75" customHeight="1" outlineLevel="1" x14ac:dyDescent="0.3">
      <c r="B27" s="3" t="s">
        <v>144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3"/>
      <c r="BM27" s="3"/>
      <c r="BN27" s="3"/>
      <c r="BO27" s="3"/>
      <c r="BP27" s="3"/>
    </row>
    <row r="28" spans="1:83" ht="15.75" customHeight="1" x14ac:dyDescent="0.3">
      <c r="B28" s="197" t="s">
        <v>18</v>
      </c>
      <c r="C28" s="197">
        <f t="shared" ref="C28:AN28" si="7">SUM(C26:C27)</f>
        <v>0</v>
      </c>
      <c r="D28" s="197">
        <f t="shared" si="7"/>
        <v>0</v>
      </c>
      <c r="E28" s="197">
        <f t="shared" si="7"/>
        <v>0</v>
      </c>
      <c r="F28" s="197">
        <f t="shared" si="7"/>
        <v>2500000</v>
      </c>
      <c r="G28" s="197">
        <f t="shared" si="7"/>
        <v>0</v>
      </c>
      <c r="H28" s="197">
        <f t="shared" si="7"/>
        <v>0</v>
      </c>
      <c r="I28" s="197">
        <f t="shared" si="7"/>
        <v>0</v>
      </c>
      <c r="J28" s="197">
        <f t="shared" si="7"/>
        <v>0</v>
      </c>
      <c r="K28" s="197">
        <f t="shared" si="7"/>
        <v>0</v>
      </c>
      <c r="L28" s="197">
        <f t="shared" si="7"/>
        <v>2500000</v>
      </c>
      <c r="M28" s="197">
        <f t="shared" si="7"/>
        <v>0</v>
      </c>
      <c r="N28" s="197">
        <f t="shared" si="7"/>
        <v>0</v>
      </c>
      <c r="O28" s="197">
        <f t="shared" si="7"/>
        <v>0</v>
      </c>
      <c r="P28" s="197">
        <f t="shared" si="7"/>
        <v>0</v>
      </c>
      <c r="Q28" s="197">
        <f t="shared" si="7"/>
        <v>0</v>
      </c>
      <c r="R28" s="197">
        <f t="shared" si="7"/>
        <v>0</v>
      </c>
      <c r="S28" s="197">
        <f t="shared" si="7"/>
        <v>0</v>
      </c>
      <c r="T28" s="197">
        <f t="shared" si="7"/>
        <v>0</v>
      </c>
      <c r="U28" s="197">
        <f t="shared" si="7"/>
        <v>0</v>
      </c>
      <c r="V28" s="197">
        <f t="shared" si="7"/>
        <v>0</v>
      </c>
      <c r="W28" s="197">
        <f t="shared" si="7"/>
        <v>0</v>
      </c>
      <c r="X28" s="197">
        <f t="shared" si="7"/>
        <v>74059000</v>
      </c>
      <c r="Y28" s="197">
        <f t="shared" si="7"/>
        <v>0</v>
      </c>
      <c r="Z28" s="197">
        <f t="shared" si="7"/>
        <v>0</v>
      </c>
      <c r="AA28" s="197">
        <f t="shared" si="7"/>
        <v>0</v>
      </c>
      <c r="AB28" s="197">
        <f t="shared" si="7"/>
        <v>0</v>
      </c>
      <c r="AC28" s="197">
        <f t="shared" si="7"/>
        <v>0</v>
      </c>
      <c r="AD28" s="197">
        <f t="shared" si="7"/>
        <v>0</v>
      </c>
      <c r="AE28" s="197">
        <f t="shared" si="7"/>
        <v>0</v>
      </c>
      <c r="AF28" s="197">
        <f t="shared" si="7"/>
        <v>0</v>
      </c>
      <c r="AG28" s="197">
        <f t="shared" si="7"/>
        <v>0</v>
      </c>
      <c r="AH28" s="197">
        <f t="shared" si="7"/>
        <v>0</v>
      </c>
      <c r="AI28" s="197">
        <f t="shared" si="7"/>
        <v>0</v>
      </c>
      <c r="AJ28" s="197">
        <f t="shared" si="7"/>
        <v>0</v>
      </c>
      <c r="AK28" s="197">
        <f t="shared" si="7"/>
        <v>0</v>
      </c>
      <c r="AL28" s="197">
        <f t="shared" si="7"/>
        <v>0</v>
      </c>
      <c r="AM28" s="197">
        <f t="shared" si="7"/>
        <v>0</v>
      </c>
      <c r="AN28" s="197">
        <f t="shared" si="7"/>
        <v>0</v>
      </c>
      <c r="AO28" s="197">
        <f>SUM(AO26:AO27)</f>
        <v>0</v>
      </c>
      <c r="AP28" s="197">
        <f>SUM(AP26:AP27)</f>
        <v>0</v>
      </c>
      <c r="AQ28" s="197">
        <f t="shared" ref="AQ28:BF28" si="8">SUM(AQ26:AQ27)</f>
        <v>0</v>
      </c>
      <c r="AR28" s="197">
        <f t="shared" si="8"/>
        <v>0</v>
      </c>
      <c r="AS28" s="197">
        <f t="shared" si="8"/>
        <v>0</v>
      </c>
      <c r="AT28" s="197">
        <f t="shared" si="8"/>
        <v>0</v>
      </c>
      <c r="AU28" s="197">
        <f t="shared" si="8"/>
        <v>0</v>
      </c>
      <c r="AV28" s="197">
        <f t="shared" si="8"/>
        <v>0</v>
      </c>
      <c r="AW28" s="197">
        <f t="shared" si="8"/>
        <v>0</v>
      </c>
      <c r="AX28" s="197">
        <f t="shared" si="8"/>
        <v>0</v>
      </c>
      <c r="AY28" s="197">
        <f t="shared" si="8"/>
        <v>0</v>
      </c>
      <c r="AZ28" s="197">
        <f t="shared" si="8"/>
        <v>0</v>
      </c>
      <c r="BA28" s="197">
        <f t="shared" si="8"/>
        <v>0</v>
      </c>
      <c r="BB28" s="197">
        <f t="shared" si="8"/>
        <v>0</v>
      </c>
      <c r="BC28" s="197">
        <f t="shared" si="8"/>
        <v>0</v>
      </c>
      <c r="BD28" s="197">
        <f t="shared" si="8"/>
        <v>0</v>
      </c>
      <c r="BE28" s="197">
        <f t="shared" si="8"/>
        <v>0</v>
      </c>
      <c r="BF28" s="197">
        <f t="shared" si="8"/>
        <v>0</v>
      </c>
      <c r="BG28" s="197"/>
      <c r="BH28" s="197"/>
      <c r="BI28" s="197"/>
      <c r="BJ28" s="197"/>
      <c r="BK28" s="197"/>
      <c r="BL28" s="198">
        <f>SUM(C28:BK28)</f>
        <v>79059000</v>
      </c>
      <c r="BM28" s="8" t="s">
        <v>166</v>
      </c>
      <c r="BN28" s="8">
        <v>0</v>
      </c>
    </row>
    <row r="29" spans="1:83" ht="15.75" customHeight="1" x14ac:dyDescent="0.3">
      <c r="D29" s="101"/>
      <c r="N29" s="3"/>
      <c r="O29" s="6"/>
      <c r="P29" s="3"/>
      <c r="U29" s="6"/>
      <c r="V29" s="194"/>
      <c r="W29" s="161"/>
      <c r="AC29" s="6"/>
      <c r="AE29" s="6"/>
    </row>
    <row r="30" spans="1:83" ht="15.75" customHeight="1" x14ac:dyDescent="0.3">
      <c r="B30" s="196" t="s">
        <v>26</v>
      </c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3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  <c r="AL30" s="196"/>
      <c r="AM30" s="196"/>
      <c r="AN30" s="196"/>
      <c r="AO30" s="196"/>
      <c r="AP30" s="196"/>
      <c r="AQ30" s="196"/>
      <c r="AR30" s="196"/>
      <c r="AS30" s="196"/>
      <c r="AT30" s="196"/>
      <c r="AU30" s="196"/>
      <c r="AV30" s="196"/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196"/>
    </row>
    <row r="31" spans="1:83" ht="15.75" customHeight="1" outlineLevel="1" x14ac:dyDescent="0.3">
      <c r="K31" s="6"/>
      <c r="O31" s="6"/>
    </row>
    <row r="32" spans="1:83" ht="15.75" customHeight="1" outlineLevel="1" x14ac:dyDescent="0.3">
      <c r="B32" s="79" t="s">
        <v>10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>
        <f t="shared" ref="BL32:BL36" si="9">SUM(C32:BK32)</f>
        <v>0</v>
      </c>
      <c r="BM32" s="3"/>
    </row>
    <row r="33" spans="1:83" ht="15.75" customHeight="1" outlineLevel="1" x14ac:dyDescent="0.3">
      <c r="B33" s="76" t="s">
        <v>11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480686.89570540801</v>
      </c>
      <c r="Y33" s="6">
        <v>2679330.9544262961</v>
      </c>
      <c r="Z33" s="6">
        <v>4442704.0017586537</v>
      </c>
      <c r="AA33" s="6">
        <v>5331606.5684150411</v>
      </c>
      <c r="AB33" s="6">
        <v>15381840.104407161</v>
      </c>
      <c r="AC33" s="6">
        <v>16719792.653415512</v>
      </c>
      <c r="AD33" s="6">
        <v>16247962.422679655</v>
      </c>
      <c r="AE33" s="6">
        <v>27459584.568414558</v>
      </c>
      <c r="AF33" s="6">
        <v>29431481.887771256</v>
      </c>
      <c r="AG33" s="6">
        <v>27516683.820040062</v>
      </c>
      <c r="AH33" s="6">
        <v>21245785.318327099</v>
      </c>
      <c r="AI33" s="6">
        <v>12092342.198551005</v>
      </c>
      <c r="AJ33" s="6">
        <v>4676798.6060882797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f t="shared" si="9"/>
        <v>183706599.99999997</v>
      </c>
      <c r="BM33" s="199">
        <v>0</v>
      </c>
    </row>
    <row r="34" spans="1:83" ht="15.75" customHeight="1" outlineLevel="1" x14ac:dyDescent="0.3">
      <c r="B34" s="76" t="s">
        <v>13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480686.89570540801</v>
      </c>
      <c r="AC34" s="6">
        <v>2679330.9544262961</v>
      </c>
      <c r="AD34" s="6">
        <v>4442704.0017586537</v>
      </c>
      <c r="AE34" s="6">
        <v>5331606.5684150411</v>
      </c>
      <c r="AF34" s="6">
        <v>15381840.104407161</v>
      </c>
      <c r="AG34" s="6">
        <v>16719792.653415512</v>
      </c>
      <c r="AH34" s="6">
        <v>16247962.422679655</v>
      </c>
      <c r="AI34" s="6">
        <v>27459584.568414558</v>
      </c>
      <c r="AJ34" s="6">
        <v>29431481.887771256</v>
      </c>
      <c r="AK34" s="6">
        <v>27516683.820040062</v>
      </c>
      <c r="AL34" s="6">
        <v>21245785.318327099</v>
      </c>
      <c r="AM34" s="6">
        <v>12092342.198551005</v>
      </c>
      <c r="AN34" s="6">
        <v>4676798.6060882797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f t="shared" si="9"/>
        <v>183706599.99999997</v>
      </c>
      <c r="BM34" s="199">
        <v>0</v>
      </c>
      <c r="BN34" s="3"/>
      <c r="BO34" s="3"/>
      <c r="BP34" s="3"/>
    </row>
    <row r="35" spans="1:83" ht="15.75" customHeight="1" outlineLevel="1" x14ac:dyDescent="0.3">
      <c r="B35" s="76" t="s">
        <v>15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672961.65398757113</v>
      </c>
      <c r="AG35" s="6">
        <v>3751063.3361968142</v>
      </c>
      <c r="AH35" s="6">
        <v>6219785.6024621138</v>
      </c>
      <c r="AI35" s="6">
        <v>7464249.1957810558</v>
      </c>
      <c r="AJ35" s="6">
        <v>21534576.146170024</v>
      </c>
      <c r="AK35" s="6">
        <v>23407709.714781716</v>
      </c>
      <c r="AL35" s="6">
        <v>22747147.391751517</v>
      </c>
      <c r="AM35" s="6">
        <v>38443418.395780377</v>
      </c>
      <c r="AN35" s="6">
        <v>41204074.642879754</v>
      </c>
      <c r="AO35" s="6">
        <v>38523357.348056078</v>
      </c>
      <c r="AP35" s="6">
        <v>29744099.445657935</v>
      </c>
      <c r="AQ35" s="6">
        <v>16929279.077971406</v>
      </c>
      <c r="AR35" s="6">
        <v>6547518.0485235918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f t="shared" si="9"/>
        <v>257189239.99999997</v>
      </c>
      <c r="BM35" s="199">
        <v>0</v>
      </c>
      <c r="BN35" s="3"/>
      <c r="BO35" s="3"/>
      <c r="BP35" s="3"/>
    </row>
    <row r="36" spans="1:83" ht="15.75" customHeight="1" outlineLevel="1" x14ac:dyDescent="0.3">
      <c r="B36" s="76" t="s">
        <v>17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672961.65398757113</v>
      </c>
      <c r="AK36" s="6">
        <v>3751063.3361968142</v>
      </c>
      <c r="AL36" s="6">
        <v>6219785.6024621138</v>
      </c>
      <c r="AM36" s="6">
        <v>7464249.1957810558</v>
      </c>
      <c r="AN36" s="6">
        <v>21534576.146170024</v>
      </c>
      <c r="AO36" s="6">
        <v>23407709.714781716</v>
      </c>
      <c r="AP36" s="6">
        <v>22747147.391751517</v>
      </c>
      <c r="AQ36" s="6">
        <v>38443418.395780377</v>
      </c>
      <c r="AR36" s="6">
        <v>41204074.642879754</v>
      </c>
      <c r="AS36" s="6">
        <v>38523357.348056078</v>
      </c>
      <c r="AT36" s="6">
        <v>29744099.445657935</v>
      </c>
      <c r="AU36" s="6">
        <v>16929279.077971406</v>
      </c>
      <c r="AV36" s="6">
        <v>6547518.0485235918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f t="shared" si="9"/>
        <v>257189239.99999997</v>
      </c>
      <c r="BM36" s="199">
        <v>0</v>
      </c>
      <c r="BN36" s="3"/>
      <c r="BO36" s="3"/>
      <c r="BP36" s="3"/>
    </row>
    <row r="37" spans="1:83" ht="15.75" customHeight="1" outlineLevel="1" x14ac:dyDescent="0.3">
      <c r="B37" s="79" t="s">
        <v>14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200"/>
      <c r="BN37" s="3"/>
      <c r="BO37" s="3"/>
      <c r="BP37" s="3"/>
    </row>
    <row r="38" spans="1:83" ht="15.75" customHeight="1" outlineLevel="1" x14ac:dyDescent="0.3">
      <c r="B38" s="7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f t="shared" ref="BL38:BL46" si="10">SUM(C38:BK38)</f>
        <v>0</v>
      </c>
      <c r="BM38" s="200"/>
      <c r="BN38" s="3"/>
      <c r="BO38" s="3"/>
      <c r="BP38" s="3"/>
    </row>
    <row r="39" spans="1:83" ht="15.75" customHeight="1" outlineLevel="1" x14ac:dyDescent="0.3">
      <c r="A39" s="3"/>
      <c r="B39" s="7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f t="shared" si="10"/>
        <v>0</v>
      </c>
      <c r="BM39" s="200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spans="1:83" ht="15.75" customHeight="1" outlineLevel="1" x14ac:dyDescent="0.3">
      <c r="B40" s="3" t="s">
        <v>145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f t="shared" si="10"/>
        <v>0</v>
      </c>
      <c r="BM40" s="200"/>
    </row>
    <row r="41" spans="1:83" ht="15.75" customHeight="1" outlineLevel="1" x14ac:dyDescent="0.3">
      <c r="B41" s="3" t="s">
        <v>146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f t="shared" si="10"/>
        <v>0</v>
      </c>
      <c r="BM41" s="200"/>
    </row>
    <row r="42" spans="1:83" ht="15.75" customHeight="1" outlineLevel="1" x14ac:dyDescent="0.3">
      <c r="B42" s="3" t="s">
        <v>147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f t="shared" si="10"/>
        <v>0</v>
      </c>
      <c r="BM42" s="3"/>
    </row>
    <row r="43" spans="1:83" ht="15.75" customHeight="1" outlineLevel="1" x14ac:dyDescent="0.3">
      <c r="A43" s="6"/>
      <c r="B43" s="6" t="s">
        <v>148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>
        <v>1600000</v>
      </c>
      <c r="Y43" s="6">
        <f>+X43</f>
        <v>1600000</v>
      </c>
      <c r="Z43" s="6">
        <f t="shared" ref="Z43:AV43" si="11">+Y43</f>
        <v>1600000</v>
      </c>
      <c r="AA43" s="6">
        <f t="shared" si="11"/>
        <v>1600000</v>
      </c>
      <c r="AB43" s="6">
        <f t="shared" si="11"/>
        <v>1600000</v>
      </c>
      <c r="AC43" s="6">
        <f t="shared" si="11"/>
        <v>1600000</v>
      </c>
      <c r="AD43" s="6">
        <f t="shared" si="11"/>
        <v>1600000</v>
      </c>
      <c r="AE43" s="6">
        <f t="shared" si="11"/>
        <v>1600000</v>
      </c>
      <c r="AF43" s="6">
        <f t="shared" si="11"/>
        <v>1600000</v>
      </c>
      <c r="AG43" s="6">
        <f t="shared" si="11"/>
        <v>1600000</v>
      </c>
      <c r="AH43" s="6">
        <f t="shared" si="11"/>
        <v>1600000</v>
      </c>
      <c r="AI43" s="6">
        <f t="shared" si="11"/>
        <v>1600000</v>
      </c>
      <c r="AJ43" s="6">
        <f t="shared" si="11"/>
        <v>1600000</v>
      </c>
      <c r="AK43" s="6">
        <f t="shared" si="11"/>
        <v>1600000</v>
      </c>
      <c r="AL43" s="6">
        <f t="shared" si="11"/>
        <v>1600000</v>
      </c>
      <c r="AM43" s="6">
        <f t="shared" si="11"/>
        <v>1600000</v>
      </c>
      <c r="AN43" s="6">
        <f t="shared" si="11"/>
        <v>1600000</v>
      </c>
      <c r="AO43" s="6">
        <f t="shared" si="11"/>
        <v>1600000</v>
      </c>
      <c r="AP43" s="6">
        <f t="shared" si="11"/>
        <v>1600000</v>
      </c>
      <c r="AQ43" s="6">
        <f t="shared" si="11"/>
        <v>1600000</v>
      </c>
      <c r="AR43" s="6">
        <f t="shared" si="11"/>
        <v>1600000</v>
      </c>
      <c r="AS43" s="6">
        <f t="shared" si="11"/>
        <v>1600000</v>
      </c>
      <c r="AT43" s="6">
        <f t="shared" si="11"/>
        <v>1600000</v>
      </c>
      <c r="AU43" s="6">
        <f t="shared" si="11"/>
        <v>1600000</v>
      </c>
      <c r="AV43" s="6">
        <f t="shared" si="11"/>
        <v>1600000</v>
      </c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f t="shared" si="10"/>
        <v>40000000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</row>
    <row r="44" spans="1:83" ht="15.75" customHeight="1" outlineLevel="1" x14ac:dyDescent="0.3">
      <c r="A44" s="6"/>
      <c r="B44" s="6" t="s">
        <v>65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41613.737914108162</v>
      </c>
      <c r="Y44" s="6">
        <v>85586.619088525928</v>
      </c>
      <c r="Z44" s="6">
        <v>120854.08003517307</v>
      </c>
      <c r="AA44" s="6">
        <v>138632.13136830082</v>
      </c>
      <c r="AB44" s="6">
        <v>349250.54000225145</v>
      </c>
      <c r="AC44" s="6">
        <v>419982.47215683619</v>
      </c>
      <c r="AD44" s="6">
        <v>445813.32848876622</v>
      </c>
      <c r="AE44" s="6">
        <v>687823.82273659203</v>
      </c>
      <c r="AF44" s="6">
        <v>941725.67292331986</v>
      </c>
      <c r="AG44" s="6">
        <v>991750.79619304789</v>
      </c>
      <c r="AH44" s="6">
        <v>906270.66686937737</v>
      </c>
      <c r="AI44" s="6">
        <v>972323.51925493241</v>
      </c>
      <c r="AJ44" s="6">
        <v>1158316.3658803427</v>
      </c>
      <c r="AK44" s="6">
        <v>1125509.1374203719</v>
      </c>
      <c r="AL44" s="6">
        <v>1036254.3662508145</v>
      </c>
      <c r="AM44" s="6">
        <v>1192000.1958022488</v>
      </c>
      <c r="AN44" s="6">
        <v>1380308.9879027612</v>
      </c>
      <c r="AO44" s="6">
        <v>1270621.3412567559</v>
      </c>
      <c r="AP44" s="6">
        <v>1081824.9367481892</v>
      </c>
      <c r="AQ44" s="6">
        <v>1139453.9494750358</v>
      </c>
      <c r="AR44" s="6">
        <v>987031.85382806696</v>
      </c>
      <c r="AS44" s="6">
        <v>802467.14696112159</v>
      </c>
      <c r="AT44" s="6">
        <v>626881.98891315877</v>
      </c>
      <c r="AU44" s="6">
        <v>370585.58155942813</v>
      </c>
      <c r="AV44" s="6">
        <v>162950.36097047184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f t="shared" si="10"/>
        <v>18435833.599999998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</row>
    <row r="45" spans="1:83" ht="15.75" customHeight="1" outlineLevel="1" x14ac:dyDescent="0.3">
      <c r="A45" s="6"/>
      <c r="B45" s="6" t="s">
        <v>149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</row>
    <row r="46" spans="1:83" ht="15.75" customHeight="1" x14ac:dyDescent="0.3">
      <c r="B46" s="197" t="s">
        <v>18</v>
      </c>
      <c r="C46" s="197">
        <f>SUM(C33:C45)</f>
        <v>0</v>
      </c>
      <c r="D46" s="197">
        <f t="shared" ref="D46:BK46" si="12">SUM(D33:D45)</f>
        <v>0</v>
      </c>
      <c r="E46" s="197">
        <f t="shared" si="12"/>
        <v>0</v>
      </c>
      <c r="F46" s="197">
        <f t="shared" si="12"/>
        <v>0</v>
      </c>
      <c r="G46" s="197">
        <f t="shared" si="12"/>
        <v>0</v>
      </c>
      <c r="H46" s="197">
        <f t="shared" si="12"/>
        <v>0</v>
      </c>
      <c r="I46" s="197">
        <f t="shared" si="12"/>
        <v>0</v>
      </c>
      <c r="J46" s="197">
        <f t="shared" si="12"/>
        <v>0</v>
      </c>
      <c r="K46" s="197">
        <f t="shared" si="12"/>
        <v>0</v>
      </c>
      <c r="L46" s="197">
        <f t="shared" si="12"/>
        <v>0</v>
      </c>
      <c r="M46" s="197">
        <f t="shared" si="12"/>
        <v>0</v>
      </c>
      <c r="N46" s="197">
        <f t="shared" si="12"/>
        <v>0</v>
      </c>
      <c r="O46" s="197">
        <f t="shared" si="12"/>
        <v>0</v>
      </c>
      <c r="P46" s="197">
        <f t="shared" si="12"/>
        <v>0</v>
      </c>
      <c r="Q46" s="197">
        <f t="shared" si="12"/>
        <v>0</v>
      </c>
      <c r="R46" s="197">
        <f t="shared" si="12"/>
        <v>0</v>
      </c>
      <c r="S46" s="197">
        <f t="shared" si="12"/>
        <v>0</v>
      </c>
      <c r="T46" s="197">
        <f t="shared" si="12"/>
        <v>0</v>
      </c>
      <c r="U46" s="197">
        <f t="shared" si="12"/>
        <v>0</v>
      </c>
      <c r="V46" s="197">
        <f t="shared" si="12"/>
        <v>0</v>
      </c>
      <c r="W46" s="197">
        <f t="shared" si="12"/>
        <v>0</v>
      </c>
      <c r="X46" s="197">
        <f t="shared" si="12"/>
        <v>2122300.6336195162</v>
      </c>
      <c r="Y46" s="197">
        <f t="shared" si="12"/>
        <v>4364917.5735148219</v>
      </c>
      <c r="Z46" s="197">
        <f t="shared" si="12"/>
        <v>6163558.081793827</v>
      </c>
      <c r="AA46" s="197">
        <f t="shared" si="12"/>
        <v>7070238.699783342</v>
      </c>
      <c r="AB46" s="197">
        <f t="shared" si="12"/>
        <v>17811777.540114824</v>
      </c>
      <c r="AC46" s="197">
        <f t="shared" si="12"/>
        <v>21419106.079998646</v>
      </c>
      <c r="AD46" s="197">
        <f t="shared" si="12"/>
        <v>22736479.752927076</v>
      </c>
      <c r="AE46" s="197">
        <f t="shared" si="12"/>
        <v>35079014.959566191</v>
      </c>
      <c r="AF46" s="197">
        <f t="shared" si="12"/>
        <v>48028009.319089308</v>
      </c>
      <c r="AG46" s="197">
        <f t="shared" si="12"/>
        <v>50579290.605845444</v>
      </c>
      <c r="AH46" s="197">
        <f t="shared" si="12"/>
        <v>46219804.010338247</v>
      </c>
      <c r="AI46" s="197">
        <f t="shared" si="12"/>
        <v>49588499.48200155</v>
      </c>
      <c r="AJ46" s="197">
        <f t="shared" si="12"/>
        <v>59074134.659897476</v>
      </c>
      <c r="AK46" s="197">
        <f t="shared" si="12"/>
        <v>57400966.008438967</v>
      </c>
      <c r="AL46" s="197">
        <f t="shared" si="12"/>
        <v>52848972.678791538</v>
      </c>
      <c r="AM46" s="197">
        <f t="shared" si="12"/>
        <v>60792009.985914685</v>
      </c>
      <c r="AN46" s="197">
        <f t="shared" si="12"/>
        <v>70395758.383040816</v>
      </c>
      <c r="AO46" s="197">
        <f t="shared" si="12"/>
        <v>64801688.404094547</v>
      </c>
      <c r="AP46" s="197">
        <f t="shared" si="12"/>
        <v>55173071.774157643</v>
      </c>
      <c r="AQ46" s="197">
        <f t="shared" si="12"/>
        <v>58112151.423226818</v>
      </c>
      <c r="AR46" s="197">
        <f t="shared" si="12"/>
        <v>50338624.545231409</v>
      </c>
      <c r="AS46" s="197">
        <f t="shared" si="12"/>
        <v>40925824.495017201</v>
      </c>
      <c r="AT46" s="197">
        <f t="shared" si="12"/>
        <v>31970981.434571095</v>
      </c>
      <c r="AU46" s="197">
        <f t="shared" si="12"/>
        <v>18899864.659530833</v>
      </c>
      <c r="AV46" s="197">
        <f t="shared" si="12"/>
        <v>8310468.4094940638</v>
      </c>
      <c r="AW46" s="197">
        <f t="shared" si="12"/>
        <v>0</v>
      </c>
      <c r="AX46" s="197">
        <f t="shared" si="12"/>
        <v>0</v>
      </c>
      <c r="AY46" s="197">
        <f t="shared" si="12"/>
        <v>0</v>
      </c>
      <c r="AZ46" s="197">
        <f t="shared" si="12"/>
        <v>0</v>
      </c>
      <c r="BA46" s="197">
        <f t="shared" si="12"/>
        <v>0</v>
      </c>
      <c r="BB46" s="197">
        <f t="shared" si="12"/>
        <v>0</v>
      </c>
      <c r="BC46" s="197">
        <f t="shared" si="12"/>
        <v>0</v>
      </c>
      <c r="BD46" s="197">
        <f t="shared" si="12"/>
        <v>0</v>
      </c>
      <c r="BE46" s="197">
        <f t="shared" si="12"/>
        <v>0</v>
      </c>
      <c r="BF46" s="197">
        <f t="shared" si="12"/>
        <v>0</v>
      </c>
      <c r="BG46" s="197">
        <f t="shared" si="12"/>
        <v>0</v>
      </c>
      <c r="BH46" s="197">
        <f t="shared" si="12"/>
        <v>0</v>
      </c>
      <c r="BI46" s="197">
        <f t="shared" si="12"/>
        <v>0</v>
      </c>
      <c r="BJ46" s="197">
        <f t="shared" si="12"/>
        <v>0</v>
      </c>
      <c r="BK46" s="197">
        <f t="shared" si="12"/>
        <v>0</v>
      </c>
      <c r="BL46" s="198">
        <f t="shared" si="10"/>
        <v>940227513.60000002</v>
      </c>
      <c r="BM46" s="8" t="s">
        <v>166</v>
      </c>
      <c r="BN46" s="8">
        <v>0</v>
      </c>
      <c r="BO46" s="161">
        <f>+BL46/60</f>
        <v>15670458.560000001</v>
      </c>
    </row>
    <row r="47" spans="1:83" ht="15.75" customHeight="1" x14ac:dyDescent="0.3">
      <c r="C47" s="6"/>
      <c r="X47" s="161"/>
    </row>
    <row r="48" spans="1:83" ht="15.75" customHeight="1" x14ac:dyDescent="0.3">
      <c r="B48" s="196" t="s">
        <v>29</v>
      </c>
      <c r="C48" s="193"/>
      <c r="D48" s="193"/>
      <c r="E48" s="193"/>
      <c r="F48" s="193"/>
      <c r="G48" s="193"/>
      <c r="H48" s="193"/>
      <c r="I48" s="193"/>
      <c r="J48" s="196"/>
      <c r="K48" s="201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96"/>
      <c r="AY48" s="196"/>
      <c r="AZ48" s="196"/>
      <c r="BA48" s="196"/>
      <c r="BB48" s="196"/>
      <c r="BC48" s="196"/>
      <c r="BD48" s="196"/>
      <c r="BE48" s="196"/>
      <c r="BF48" s="196"/>
      <c r="BG48" s="196"/>
      <c r="BH48" s="196"/>
      <c r="BI48" s="196"/>
      <c r="BJ48" s="196"/>
      <c r="BK48" s="196"/>
    </row>
    <row r="49" spans="2:68" ht="15.75" customHeight="1" outlineLevel="1" x14ac:dyDescent="0.3">
      <c r="C49" s="6"/>
      <c r="D49" s="6"/>
      <c r="E49" s="6"/>
      <c r="F49" s="6"/>
      <c r="G49" s="6"/>
      <c r="H49" s="6"/>
      <c r="I49" s="6"/>
      <c r="J49" s="3"/>
    </row>
    <row r="50" spans="2:68" ht="15.75" customHeight="1" outlineLevel="1" x14ac:dyDescent="0.3">
      <c r="B50" s="3" t="s">
        <v>150</v>
      </c>
      <c r="C50" s="202">
        <v>500000</v>
      </c>
      <c r="D50" s="6">
        <v>1000000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400000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485000</v>
      </c>
      <c r="Q50" s="6">
        <v>200000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1632320</v>
      </c>
      <c r="Y50" s="6">
        <v>0</v>
      </c>
      <c r="Z50" s="6">
        <v>0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194">
        <f>SUM(C50:BK50)</f>
        <v>4217320</v>
      </c>
      <c r="BM50" s="194">
        <v>0</v>
      </c>
    </row>
    <row r="51" spans="2:68" ht="15.75" customHeight="1" outlineLevel="1" x14ac:dyDescent="0.3">
      <c r="B51" s="101"/>
      <c r="C51" s="203">
        <v>0.3</v>
      </c>
      <c r="D51" s="203"/>
      <c r="E51" s="203"/>
      <c r="F51" s="203"/>
      <c r="G51" s="203"/>
      <c r="H51" s="203">
        <v>0.5</v>
      </c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3"/>
      <c r="BJ51" s="203"/>
      <c r="BK51" s="203"/>
      <c r="BL51" s="194"/>
      <c r="BM51" s="101"/>
      <c r="BN51" s="101"/>
      <c r="BO51" s="101"/>
      <c r="BP51" s="101"/>
    </row>
    <row r="52" spans="2:68" ht="15.75" customHeight="1" outlineLevel="1" x14ac:dyDescent="0.3">
      <c r="B52" s="3" t="s">
        <v>31</v>
      </c>
      <c r="C52" s="202">
        <v>70800</v>
      </c>
      <c r="D52" s="6"/>
      <c r="E52" s="6"/>
      <c r="G52" s="6"/>
      <c r="I52" s="6"/>
      <c r="J52" s="3"/>
      <c r="BL52" s="194">
        <f t="shared" ref="BL52:BL57" si="13">SUM(C52:BK52)</f>
        <v>70800</v>
      </c>
      <c r="BM52" s="194">
        <v>0</v>
      </c>
    </row>
    <row r="53" spans="2:68" ht="15.75" customHeight="1" outlineLevel="1" x14ac:dyDescent="0.3">
      <c r="B53" s="3" t="s">
        <v>66</v>
      </c>
      <c r="D53" s="6"/>
      <c r="E53" s="6"/>
      <c r="J53" s="3"/>
      <c r="Q53" s="161">
        <v>150000</v>
      </c>
      <c r="R53" s="161">
        <v>105000</v>
      </c>
      <c r="X53" s="161">
        <f>350000-R53-Q53</f>
        <v>95000</v>
      </c>
      <c r="BL53" s="194">
        <f>SUM(C53:BK53)</f>
        <v>350000</v>
      </c>
      <c r="BM53" s="194">
        <v>0</v>
      </c>
    </row>
    <row r="54" spans="2:68" ht="15.75" customHeight="1" outlineLevel="1" x14ac:dyDescent="0.3">
      <c r="B54" s="3">
        <v>0</v>
      </c>
      <c r="D54" s="6"/>
      <c r="E54" s="6"/>
      <c r="J54" s="3"/>
      <c r="BL54" s="194">
        <f t="shared" si="13"/>
        <v>0</v>
      </c>
      <c r="BM54" s="194"/>
    </row>
    <row r="55" spans="2:68" ht="15.75" customHeight="1" outlineLevel="1" x14ac:dyDescent="0.3">
      <c r="B55" s="3" t="s">
        <v>32</v>
      </c>
      <c r="C55" s="202">
        <v>23010</v>
      </c>
      <c r="D55" s="6"/>
      <c r="E55" s="6"/>
      <c r="J55" s="6"/>
      <c r="BL55" s="204">
        <f t="shared" si="13"/>
        <v>23010</v>
      </c>
      <c r="BM55" s="194">
        <v>0</v>
      </c>
    </row>
    <row r="56" spans="2:68" ht="15.75" customHeight="1" outlineLevel="1" x14ac:dyDescent="0.3">
      <c r="B56" s="3" t="s">
        <v>151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180898.6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BL56" s="204">
        <f t="shared" si="13"/>
        <v>180898.6</v>
      </c>
      <c r="BM56" s="194">
        <v>0</v>
      </c>
    </row>
    <row r="57" spans="2:68" ht="15.75" customHeight="1" outlineLevel="1" x14ac:dyDescent="0.3">
      <c r="B57" s="3" t="s">
        <v>34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200000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BL57" s="204">
        <f t="shared" si="13"/>
        <v>200000</v>
      </c>
      <c r="BM57" s="194">
        <v>0</v>
      </c>
    </row>
    <row r="58" spans="2:68" ht="15.75" customHeight="1" outlineLevel="1" x14ac:dyDescent="0.3">
      <c r="B58" s="3" t="s">
        <v>35</v>
      </c>
      <c r="C58" s="202">
        <v>788009.39999999991</v>
      </c>
      <c r="D58" s="6">
        <v>300000</v>
      </c>
      <c r="E58" s="6">
        <v>0</v>
      </c>
      <c r="F58" s="6">
        <v>0</v>
      </c>
      <c r="G58" s="6">
        <v>0</v>
      </c>
      <c r="H58" s="6">
        <v>40816.33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260076.67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BL58" s="194">
        <f>SUM(C58:BK58)</f>
        <v>1388902.3999999999</v>
      </c>
      <c r="BM58" s="194">
        <v>0</v>
      </c>
    </row>
    <row r="59" spans="2:68" ht="15.75" customHeight="1" outlineLevel="1" x14ac:dyDescent="0.3">
      <c r="B59" s="3" t="s">
        <v>41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194">
        <f t="shared" ref="BL59:BL60" si="14">SUM(C59:BK59)</f>
        <v>0</v>
      </c>
      <c r="BM59" s="194">
        <v>0</v>
      </c>
    </row>
    <row r="60" spans="2:68" ht="15.75" customHeight="1" outlineLevel="1" x14ac:dyDescent="0.3">
      <c r="B60" s="3" t="s">
        <v>36</v>
      </c>
      <c r="C60" s="6"/>
      <c r="D60" s="6"/>
      <c r="E60" s="205">
        <v>40000</v>
      </c>
      <c r="F60" s="6"/>
      <c r="G60" s="6"/>
      <c r="H60" s="6"/>
      <c r="I60" s="6">
        <v>42000</v>
      </c>
      <c r="J60" s="6"/>
      <c r="K60" s="6"/>
      <c r="L60" s="6"/>
      <c r="M60" s="6"/>
      <c r="N60" s="6"/>
      <c r="P60" s="6"/>
      <c r="Q60" s="6"/>
      <c r="R60" s="6"/>
      <c r="V60" s="6"/>
      <c r="W60" s="6"/>
      <c r="X60" s="6"/>
      <c r="Y60" s="6"/>
      <c r="Z60" s="6"/>
      <c r="AA60" s="6"/>
      <c r="AB60" s="6"/>
      <c r="AC60" s="6"/>
      <c r="AD60" s="6"/>
      <c r="AE60" s="6">
        <v>1553045.8559999999</v>
      </c>
      <c r="AF60" s="6">
        <f>+AE60</f>
        <v>1553045.8559999999</v>
      </c>
      <c r="AG60" s="6">
        <f>+AF60</f>
        <v>1553045.8559999999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194">
        <f t="shared" si="14"/>
        <v>4741137.568</v>
      </c>
      <c r="BM60" s="194">
        <v>40000</v>
      </c>
      <c r="BN60" s="3"/>
      <c r="BO60" s="3"/>
      <c r="BP60" s="3"/>
    </row>
    <row r="61" spans="2:68" ht="15.75" customHeight="1" x14ac:dyDescent="0.3">
      <c r="B61" s="197" t="s">
        <v>18</v>
      </c>
      <c r="C61" s="197">
        <f t="shared" ref="C61:AH61" si="15">SUM(C52:C60)+C50</f>
        <v>1381819.4</v>
      </c>
      <c r="D61" s="197">
        <f t="shared" si="15"/>
        <v>1300000</v>
      </c>
      <c r="E61" s="197">
        <f t="shared" si="15"/>
        <v>40000</v>
      </c>
      <c r="F61" s="197">
        <f t="shared" si="15"/>
        <v>0</v>
      </c>
      <c r="G61" s="197">
        <f t="shared" si="15"/>
        <v>0</v>
      </c>
      <c r="H61" s="197">
        <f t="shared" si="15"/>
        <v>40816.33</v>
      </c>
      <c r="I61" s="197">
        <f t="shared" si="15"/>
        <v>42000</v>
      </c>
      <c r="J61" s="197">
        <f t="shared" si="15"/>
        <v>400000</v>
      </c>
      <c r="K61" s="197">
        <f t="shared" si="15"/>
        <v>0</v>
      </c>
      <c r="L61" s="197">
        <f t="shared" si="15"/>
        <v>0</v>
      </c>
      <c r="M61" s="197">
        <f t="shared" si="15"/>
        <v>0</v>
      </c>
      <c r="N61" s="197">
        <f t="shared" si="15"/>
        <v>640975.27</v>
      </c>
      <c r="O61" s="197">
        <f t="shared" si="15"/>
        <v>0</v>
      </c>
      <c r="P61" s="197">
        <f t="shared" si="15"/>
        <v>485000</v>
      </c>
      <c r="Q61" s="197">
        <f t="shared" si="15"/>
        <v>350000</v>
      </c>
      <c r="R61" s="197">
        <f t="shared" si="15"/>
        <v>105000</v>
      </c>
      <c r="S61" s="197">
        <f t="shared" si="15"/>
        <v>0</v>
      </c>
      <c r="T61" s="197">
        <f t="shared" si="15"/>
        <v>0</v>
      </c>
      <c r="U61" s="197">
        <f t="shared" si="15"/>
        <v>0</v>
      </c>
      <c r="V61" s="197">
        <f t="shared" si="15"/>
        <v>0</v>
      </c>
      <c r="W61" s="197">
        <f t="shared" si="15"/>
        <v>0</v>
      </c>
      <c r="X61" s="197">
        <f t="shared" si="15"/>
        <v>1727320</v>
      </c>
      <c r="Y61" s="197">
        <f t="shared" si="15"/>
        <v>0</v>
      </c>
      <c r="Z61" s="197">
        <f t="shared" si="15"/>
        <v>0</v>
      </c>
      <c r="AA61" s="197">
        <f t="shared" si="15"/>
        <v>0</v>
      </c>
      <c r="AB61" s="197">
        <f t="shared" si="15"/>
        <v>0</v>
      </c>
      <c r="AC61" s="197">
        <f t="shared" si="15"/>
        <v>0</v>
      </c>
      <c r="AD61" s="197">
        <f t="shared" si="15"/>
        <v>0</v>
      </c>
      <c r="AE61" s="197">
        <f t="shared" si="15"/>
        <v>1553045.8559999999</v>
      </c>
      <c r="AF61" s="197">
        <f t="shared" si="15"/>
        <v>1553045.8559999999</v>
      </c>
      <c r="AG61" s="197">
        <f t="shared" si="15"/>
        <v>1553045.8559999999</v>
      </c>
      <c r="AH61" s="197">
        <f t="shared" si="15"/>
        <v>0</v>
      </c>
      <c r="AI61" s="197">
        <f t="shared" ref="AI61:BK61" si="16">SUM(AI52:AI60)+AI50</f>
        <v>0</v>
      </c>
      <c r="AJ61" s="197">
        <f t="shared" si="16"/>
        <v>0</v>
      </c>
      <c r="AK61" s="197">
        <f t="shared" si="16"/>
        <v>0</v>
      </c>
      <c r="AL61" s="197">
        <f t="shared" si="16"/>
        <v>0</v>
      </c>
      <c r="AM61" s="197">
        <f t="shared" si="16"/>
        <v>0</v>
      </c>
      <c r="AN61" s="197">
        <f t="shared" si="16"/>
        <v>0</v>
      </c>
      <c r="AO61" s="197">
        <f t="shared" si="16"/>
        <v>0</v>
      </c>
      <c r="AP61" s="197">
        <f t="shared" si="16"/>
        <v>0</v>
      </c>
      <c r="AQ61" s="197">
        <f t="shared" si="16"/>
        <v>0</v>
      </c>
      <c r="AR61" s="197">
        <f t="shared" si="16"/>
        <v>0</v>
      </c>
      <c r="AS61" s="197">
        <f t="shared" si="16"/>
        <v>0</v>
      </c>
      <c r="AT61" s="197">
        <f t="shared" si="16"/>
        <v>0</v>
      </c>
      <c r="AU61" s="197">
        <f t="shared" si="16"/>
        <v>0</v>
      </c>
      <c r="AV61" s="197">
        <f t="shared" si="16"/>
        <v>0</v>
      </c>
      <c r="AW61" s="197">
        <f t="shared" si="16"/>
        <v>0</v>
      </c>
      <c r="AX61" s="197">
        <f t="shared" si="16"/>
        <v>0</v>
      </c>
      <c r="AY61" s="197">
        <f t="shared" si="16"/>
        <v>0</v>
      </c>
      <c r="AZ61" s="197">
        <f t="shared" si="16"/>
        <v>0</v>
      </c>
      <c r="BA61" s="197">
        <f t="shared" si="16"/>
        <v>0</v>
      </c>
      <c r="BB61" s="197">
        <f t="shared" si="16"/>
        <v>0</v>
      </c>
      <c r="BC61" s="197">
        <f t="shared" si="16"/>
        <v>0</v>
      </c>
      <c r="BD61" s="197">
        <f t="shared" si="16"/>
        <v>0</v>
      </c>
      <c r="BE61" s="197">
        <f t="shared" si="16"/>
        <v>0</v>
      </c>
      <c r="BF61" s="197">
        <f t="shared" si="16"/>
        <v>0</v>
      </c>
      <c r="BG61" s="197">
        <f t="shared" si="16"/>
        <v>0</v>
      </c>
      <c r="BH61" s="197">
        <f t="shared" si="16"/>
        <v>0</v>
      </c>
      <c r="BI61" s="197">
        <f t="shared" si="16"/>
        <v>0</v>
      </c>
      <c r="BJ61" s="197">
        <f t="shared" si="16"/>
        <v>0</v>
      </c>
      <c r="BK61" s="197">
        <f t="shared" si="16"/>
        <v>0</v>
      </c>
      <c r="BL61" s="198">
        <f>SUM(C61:BK61)</f>
        <v>11172068.568</v>
      </c>
      <c r="BM61" s="8" t="s">
        <v>166</v>
      </c>
      <c r="BN61" s="8">
        <v>0</v>
      </c>
    </row>
    <row r="62" spans="2:68" ht="15.75" customHeight="1" x14ac:dyDescent="0.3">
      <c r="C62" s="3"/>
    </row>
    <row r="63" spans="2:68" ht="15.75" customHeight="1" x14ac:dyDescent="0.3">
      <c r="B63" s="196" t="s">
        <v>37</v>
      </c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  <c r="AL63" s="196"/>
      <c r="AM63" s="196"/>
      <c r="AN63" s="196"/>
      <c r="AO63" s="196"/>
      <c r="AP63" s="196"/>
      <c r="AQ63" s="196"/>
      <c r="AR63" s="196"/>
      <c r="AS63" s="196"/>
      <c r="AT63" s="196"/>
      <c r="AU63" s="196"/>
      <c r="AV63" s="196"/>
      <c r="AW63" s="196"/>
      <c r="AX63" s="196"/>
      <c r="AY63" s="196"/>
      <c r="AZ63" s="196"/>
      <c r="BA63" s="196"/>
      <c r="BB63" s="196"/>
      <c r="BC63" s="196"/>
      <c r="BD63" s="196"/>
      <c r="BE63" s="196"/>
      <c r="BF63" s="196"/>
      <c r="BG63" s="196"/>
      <c r="BH63" s="196"/>
      <c r="BI63" s="196"/>
      <c r="BJ63" s="196"/>
      <c r="BK63" s="196"/>
    </row>
    <row r="64" spans="2:68" ht="15.75" customHeight="1" outlineLevel="1" x14ac:dyDescent="0.3">
      <c r="BL64" s="6">
        <f t="shared" ref="BL64:BL72" si="17">SUM(C64:BK64)</f>
        <v>0</v>
      </c>
    </row>
    <row r="65" spans="2:68" ht="15.75" customHeight="1" outlineLevel="1" x14ac:dyDescent="0.3">
      <c r="B65" s="3" t="s">
        <v>38</v>
      </c>
      <c r="C65" s="6">
        <v>71520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>
        <v>121832.04126315789</v>
      </c>
      <c r="Y65" s="6">
        <f>+X65</f>
        <v>121832.04126315789</v>
      </c>
      <c r="Z65" s="6">
        <f t="shared" ref="Z65:AO66" si="18">+Y65</f>
        <v>121832.04126315789</v>
      </c>
      <c r="AA65" s="6">
        <f t="shared" si="18"/>
        <v>121832.04126315789</v>
      </c>
      <c r="AB65" s="6">
        <f t="shared" si="18"/>
        <v>121832.04126315789</v>
      </c>
      <c r="AC65" s="6">
        <f t="shared" si="18"/>
        <v>121832.04126315789</v>
      </c>
      <c r="AD65" s="6">
        <f t="shared" si="18"/>
        <v>121832.04126315789</v>
      </c>
      <c r="AE65" s="6">
        <f t="shared" si="18"/>
        <v>121832.04126315789</v>
      </c>
      <c r="AF65" s="6">
        <f t="shared" si="18"/>
        <v>121832.04126315789</v>
      </c>
      <c r="AG65" s="6">
        <f t="shared" si="18"/>
        <v>121832.04126315789</v>
      </c>
      <c r="AH65" s="6">
        <f t="shared" si="18"/>
        <v>121832.04126315789</v>
      </c>
      <c r="AI65" s="6">
        <f t="shared" si="18"/>
        <v>121832.04126315789</v>
      </c>
      <c r="AJ65" s="6">
        <f t="shared" si="18"/>
        <v>121832.04126315789</v>
      </c>
      <c r="AK65" s="6">
        <f t="shared" si="18"/>
        <v>121832.04126315789</v>
      </c>
      <c r="AL65" s="6">
        <f t="shared" si="18"/>
        <v>121832.04126315789</v>
      </c>
      <c r="AM65" s="6">
        <f t="shared" si="18"/>
        <v>121832.04126315789</v>
      </c>
      <c r="AN65" s="6">
        <f t="shared" si="18"/>
        <v>121832.04126315789</v>
      </c>
      <c r="AO65" s="6">
        <f t="shared" si="18"/>
        <v>121832.04126315789</v>
      </c>
      <c r="AP65" s="6">
        <f t="shared" ref="AP65:BE66" si="19">+AO65</f>
        <v>121832.04126315789</v>
      </c>
      <c r="AQ65" s="6">
        <f t="shared" si="19"/>
        <v>121832.04126315789</v>
      </c>
      <c r="AR65" s="6">
        <f t="shared" si="19"/>
        <v>121832.04126315789</v>
      </c>
      <c r="AS65" s="6">
        <f t="shared" si="19"/>
        <v>121832.04126315789</v>
      </c>
      <c r="AT65" s="6">
        <f t="shared" si="19"/>
        <v>121832.04126315789</v>
      </c>
      <c r="AU65" s="6">
        <f t="shared" si="19"/>
        <v>121832.04126315789</v>
      </c>
      <c r="AV65" s="6">
        <f t="shared" si="19"/>
        <v>121832.04126315789</v>
      </c>
      <c r="AW65" s="6">
        <f t="shared" si="19"/>
        <v>121832.04126315789</v>
      </c>
      <c r="AX65" s="6">
        <f t="shared" si="19"/>
        <v>121832.04126315789</v>
      </c>
      <c r="AY65" s="6">
        <f t="shared" si="19"/>
        <v>121832.04126315789</v>
      </c>
      <c r="AZ65" s="6">
        <f t="shared" si="19"/>
        <v>121832.04126315789</v>
      </c>
      <c r="BA65" s="6">
        <f t="shared" si="19"/>
        <v>121832.04126315789</v>
      </c>
      <c r="BB65" s="6">
        <f t="shared" si="19"/>
        <v>121832.04126315789</v>
      </c>
      <c r="BC65" s="6">
        <f t="shared" si="19"/>
        <v>121832.04126315789</v>
      </c>
      <c r="BD65" s="6">
        <f t="shared" si="19"/>
        <v>121832.04126315789</v>
      </c>
      <c r="BE65" s="6">
        <f t="shared" si="19"/>
        <v>121832.04126315789</v>
      </c>
      <c r="BF65" s="6">
        <f t="shared" ref="BF65:BI66" si="20">+BE65</f>
        <v>121832.04126315789</v>
      </c>
      <c r="BG65" s="6">
        <f t="shared" si="20"/>
        <v>121832.04126315789</v>
      </c>
      <c r="BH65" s="6">
        <f t="shared" si="20"/>
        <v>121832.04126315789</v>
      </c>
      <c r="BI65" s="6">
        <f t="shared" si="20"/>
        <v>121832.04126315789</v>
      </c>
      <c r="BJ65" s="6"/>
      <c r="BK65" s="6"/>
      <c r="BL65" s="6">
        <f t="shared" si="17"/>
        <v>4701137.568</v>
      </c>
      <c r="BM65" s="194">
        <v>0</v>
      </c>
    </row>
    <row r="66" spans="2:68" ht="15.75" customHeight="1" outlineLevel="1" x14ac:dyDescent="0.3">
      <c r="B66" s="3" t="s">
        <v>152</v>
      </c>
      <c r="C66" s="3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174116.20622222222</v>
      </c>
      <c r="AJ66" s="6">
        <f>+AI66</f>
        <v>174116.20622222222</v>
      </c>
      <c r="AK66" s="6">
        <f t="shared" si="18"/>
        <v>174116.20622222222</v>
      </c>
      <c r="AL66" s="6">
        <f t="shared" si="18"/>
        <v>174116.20622222222</v>
      </c>
      <c r="AM66" s="6">
        <f t="shared" si="18"/>
        <v>174116.20622222222</v>
      </c>
      <c r="AN66" s="6">
        <f t="shared" si="18"/>
        <v>174116.20622222222</v>
      </c>
      <c r="AO66" s="6">
        <f t="shared" si="18"/>
        <v>174116.20622222222</v>
      </c>
      <c r="AP66" s="6">
        <f t="shared" si="19"/>
        <v>174116.20622222222</v>
      </c>
      <c r="AQ66" s="6">
        <f t="shared" si="19"/>
        <v>174116.20622222222</v>
      </c>
      <c r="AR66" s="6">
        <f t="shared" si="19"/>
        <v>174116.20622222222</v>
      </c>
      <c r="AS66" s="6">
        <f t="shared" si="19"/>
        <v>174116.20622222222</v>
      </c>
      <c r="AT66" s="6">
        <f t="shared" si="19"/>
        <v>174116.20622222222</v>
      </c>
      <c r="AU66" s="6">
        <f t="shared" si="19"/>
        <v>174116.20622222222</v>
      </c>
      <c r="AV66" s="6">
        <f t="shared" si="19"/>
        <v>174116.20622222222</v>
      </c>
      <c r="AW66" s="6">
        <f t="shared" si="19"/>
        <v>174116.20622222222</v>
      </c>
      <c r="AX66" s="6">
        <f t="shared" si="19"/>
        <v>174116.20622222222</v>
      </c>
      <c r="AY66" s="6">
        <f t="shared" si="19"/>
        <v>174116.20622222222</v>
      </c>
      <c r="AZ66" s="6">
        <f t="shared" si="19"/>
        <v>174116.20622222222</v>
      </c>
      <c r="BA66" s="6">
        <f t="shared" si="19"/>
        <v>174116.20622222222</v>
      </c>
      <c r="BB66" s="6">
        <f t="shared" si="19"/>
        <v>174116.20622222222</v>
      </c>
      <c r="BC66" s="6">
        <f t="shared" si="19"/>
        <v>174116.20622222222</v>
      </c>
      <c r="BD66" s="6">
        <f t="shared" si="19"/>
        <v>174116.20622222222</v>
      </c>
      <c r="BE66" s="6">
        <f t="shared" si="19"/>
        <v>174116.20622222222</v>
      </c>
      <c r="BF66" s="6">
        <f t="shared" si="20"/>
        <v>174116.20622222222</v>
      </c>
      <c r="BG66" s="6">
        <f t="shared" si="20"/>
        <v>174116.20622222222</v>
      </c>
      <c r="BH66" s="6">
        <f t="shared" si="20"/>
        <v>174116.20622222222</v>
      </c>
      <c r="BI66" s="6">
        <f t="shared" si="20"/>
        <v>174116.20622222222</v>
      </c>
      <c r="BJ66" s="6"/>
      <c r="BK66" s="6"/>
      <c r="BL66" s="6">
        <f t="shared" si="17"/>
        <v>4701137.568</v>
      </c>
      <c r="BM66" s="194">
        <v>0</v>
      </c>
    </row>
    <row r="67" spans="2:68" ht="15.75" customHeight="1" outlineLevel="1" x14ac:dyDescent="0.3">
      <c r="B67" s="6" t="s">
        <v>153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R67" s="6"/>
      <c r="S67" s="6"/>
      <c r="T67" s="6"/>
      <c r="U67" s="6"/>
      <c r="Z67" s="6">
        <v>1175284.392</v>
      </c>
      <c r="AA67" s="6"/>
      <c r="AB67" s="6"/>
      <c r="AC67" s="6"/>
      <c r="AD67" s="6"/>
      <c r="AE67" s="6"/>
      <c r="AF67" s="6"/>
      <c r="AG67" s="6">
        <f>+Z67</f>
        <v>1175284.392</v>
      </c>
      <c r="AH67" s="6"/>
      <c r="AI67" s="6"/>
      <c r="AJ67" s="6"/>
      <c r="AK67" s="6">
        <f>+AG67</f>
        <v>1175284.392</v>
      </c>
      <c r="AL67" s="6"/>
      <c r="AM67" s="6"/>
      <c r="AN67" s="6">
        <f>+AG67</f>
        <v>1175284.392</v>
      </c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>
        <f t="shared" si="17"/>
        <v>4701137.568</v>
      </c>
      <c r="BM67" s="194">
        <v>0</v>
      </c>
      <c r="BN67" s="6"/>
      <c r="BO67" s="6"/>
      <c r="BP67" s="6"/>
    </row>
    <row r="68" spans="2:68" ht="15.75" customHeight="1" outlineLevel="1" x14ac:dyDescent="0.3">
      <c r="B68" s="3" t="s">
        <v>41</v>
      </c>
      <c r="C68" s="6">
        <f>+SUM(C64:C67)*18%</f>
        <v>12873.6</v>
      </c>
      <c r="D68" s="6">
        <f t="shared" ref="D68:AU68" si="21">+SUM(D64:D67)*18%</f>
        <v>0</v>
      </c>
      <c r="E68" s="6">
        <f t="shared" si="21"/>
        <v>0</v>
      </c>
      <c r="F68" s="6">
        <f t="shared" si="21"/>
        <v>0</v>
      </c>
      <c r="G68" s="6">
        <f t="shared" si="21"/>
        <v>0</v>
      </c>
      <c r="H68" s="6">
        <f t="shared" si="21"/>
        <v>0</v>
      </c>
      <c r="I68" s="6">
        <f t="shared" ref="I68:O68" si="22">+SUM(I64:I67)*18%</f>
        <v>0</v>
      </c>
      <c r="J68" s="6">
        <f t="shared" si="22"/>
        <v>0</v>
      </c>
      <c r="K68" s="6">
        <f t="shared" si="22"/>
        <v>0</v>
      </c>
      <c r="L68" s="6">
        <f t="shared" si="22"/>
        <v>0</v>
      </c>
      <c r="M68" s="6">
        <f t="shared" si="22"/>
        <v>0</v>
      </c>
      <c r="N68" s="6">
        <f>+SUM(N64:N67)*18%</f>
        <v>0</v>
      </c>
      <c r="O68" s="6">
        <f t="shared" si="22"/>
        <v>0</v>
      </c>
      <c r="P68" s="6">
        <f t="shared" si="21"/>
        <v>0</v>
      </c>
      <c r="Q68" s="6">
        <f t="shared" si="21"/>
        <v>0</v>
      </c>
      <c r="R68" s="6">
        <f t="shared" si="21"/>
        <v>0</v>
      </c>
      <c r="S68" s="6">
        <f t="shared" si="21"/>
        <v>0</v>
      </c>
      <c r="T68" s="6">
        <f t="shared" si="21"/>
        <v>0</v>
      </c>
      <c r="U68" s="6">
        <f t="shared" si="21"/>
        <v>0</v>
      </c>
      <c r="V68" s="6">
        <f t="shared" si="21"/>
        <v>0</v>
      </c>
      <c r="W68" s="6">
        <f>+SUM(W64:W67)*18%</f>
        <v>0</v>
      </c>
      <c r="X68" s="6">
        <f t="shared" si="21"/>
        <v>21929.767427368421</v>
      </c>
      <c r="Y68" s="6">
        <f t="shared" si="21"/>
        <v>21929.767427368421</v>
      </c>
      <c r="Z68" s="6">
        <f t="shared" si="21"/>
        <v>233480.95798736843</v>
      </c>
      <c r="AA68" s="6">
        <f t="shared" si="21"/>
        <v>21929.767427368421</v>
      </c>
      <c r="AB68" s="6">
        <f t="shared" si="21"/>
        <v>21929.767427368421</v>
      </c>
      <c r="AC68" s="6">
        <f t="shared" si="21"/>
        <v>21929.767427368421</v>
      </c>
      <c r="AD68" s="6">
        <f t="shared" si="21"/>
        <v>21929.767427368421</v>
      </c>
      <c r="AE68" s="6">
        <f t="shared" si="21"/>
        <v>21929.767427368421</v>
      </c>
      <c r="AF68" s="6">
        <f t="shared" si="21"/>
        <v>21929.767427368421</v>
      </c>
      <c r="AG68" s="6">
        <f t="shared" si="21"/>
        <v>233480.95798736843</v>
      </c>
      <c r="AH68" s="6">
        <f t="shared" si="21"/>
        <v>21929.767427368421</v>
      </c>
      <c r="AI68" s="6">
        <f t="shared" si="21"/>
        <v>53270.684547368415</v>
      </c>
      <c r="AJ68" s="6">
        <f t="shared" si="21"/>
        <v>53270.684547368415</v>
      </c>
      <c r="AK68" s="6">
        <f t="shared" si="21"/>
        <v>264821.8751073684</v>
      </c>
      <c r="AL68" s="6">
        <f t="shared" si="21"/>
        <v>53270.684547368415</v>
      </c>
      <c r="AM68" s="6">
        <f t="shared" si="21"/>
        <v>53270.684547368415</v>
      </c>
      <c r="AN68" s="6">
        <f>+SUM(AN64:AN67)*18%</f>
        <v>264821.8751073684</v>
      </c>
      <c r="AO68" s="6">
        <f>+SUM(AO64:AO67)*18%</f>
        <v>53270.684547368415</v>
      </c>
      <c r="AP68" s="6">
        <f>+SUM(AP64:AP67)*18%</f>
        <v>53270.684547368415</v>
      </c>
      <c r="AQ68" s="6">
        <f t="shared" si="21"/>
        <v>53270.684547368415</v>
      </c>
      <c r="AR68" s="6">
        <f t="shared" si="21"/>
        <v>53270.684547368415</v>
      </c>
      <c r="AS68" s="6">
        <f t="shared" si="21"/>
        <v>53270.684547368415</v>
      </c>
      <c r="AT68" s="6">
        <f t="shared" si="21"/>
        <v>53270.684547368415</v>
      </c>
      <c r="AU68" s="6">
        <f t="shared" si="21"/>
        <v>53270.684547368415</v>
      </c>
      <c r="AV68" s="6">
        <f t="shared" ref="AV68:BK68" si="23">+SUM(AV64:AV67)*18%</f>
        <v>53270.684547368415</v>
      </c>
      <c r="AW68" s="6">
        <f t="shared" si="23"/>
        <v>53270.684547368415</v>
      </c>
      <c r="AX68" s="6">
        <f t="shared" si="23"/>
        <v>53270.684547368415</v>
      </c>
      <c r="AY68" s="6">
        <f t="shared" si="23"/>
        <v>53270.684547368415</v>
      </c>
      <c r="AZ68" s="6">
        <f t="shared" si="23"/>
        <v>53270.684547368415</v>
      </c>
      <c r="BA68" s="6">
        <f t="shared" si="23"/>
        <v>53270.684547368415</v>
      </c>
      <c r="BB68" s="6">
        <f t="shared" si="23"/>
        <v>53270.684547368415</v>
      </c>
      <c r="BC68" s="6">
        <f t="shared" si="23"/>
        <v>53270.684547368415</v>
      </c>
      <c r="BD68" s="6">
        <f t="shared" si="23"/>
        <v>53270.684547368415</v>
      </c>
      <c r="BE68" s="6">
        <f t="shared" si="23"/>
        <v>53270.684547368415</v>
      </c>
      <c r="BF68" s="6">
        <f t="shared" si="23"/>
        <v>53270.684547368415</v>
      </c>
      <c r="BG68" s="6">
        <f t="shared" si="23"/>
        <v>53270.684547368415</v>
      </c>
      <c r="BH68" s="6">
        <f t="shared" si="23"/>
        <v>53270.684547368415</v>
      </c>
      <c r="BI68" s="6">
        <f t="shared" si="23"/>
        <v>53270.684547368415</v>
      </c>
      <c r="BJ68" s="6">
        <f t="shared" si="23"/>
        <v>0</v>
      </c>
      <c r="BK68" s="6">
        <f t="shared" si="23"/>
        <v>0</v>
      </c>
      <c r="BL68" s="6">
        <f t="shared" si="17"/>
        <v>2538614.2867200002</v>
      </c>
      <c r="BM68" s="194">
        <v>0</v>
      </c>
    </row>
    <row r="69" spans="2:68" ht="15.75" customHeight="1" outlineLevel="1" x14ac:dyDescent="0.3">
      <c r="B69" s="3" t="s">
        <v>42</v>
      </c>
      <c r="C69" s="6"/>
      <c r="D69" s="205"/>
      <c r="E69" s="205"/>
      <c r="F69" s="205"/>
      <c r="G69" s="205"/>
      <c r="H69" s="205"/>
      <c r="I69" s="205"/>
      <c r="J69" s="205"/>
      <c r="K69" s="205"/>
      <c r="L69" s="205"/>
      <c r="M69" s="205">
        <f>25000*6</f>
        <v>150000</v>
      </c>
      <c r="N69" s="205">
        <v>25000</v>
      </c>
      <c r="O69" s="205">
        <v>25000</v>
      </c>
      <c r="P69" s="6"/>
      <c r="Q69" s="6"/>
      <c r="R69" s="6"/>
      <c r="S69" s="6"/>
      <c r="T69" s="6"/>
      <c r="U69" s="6"/>
      <c r="V69" s="6"/>
      <c r="W69" s="6"/>
      <c r="X69" s="6">
        <v>433100.63157894742</v>
      </c>
      <c r="Y69" s="6">
        <f t="shared" ref="Y69:BI69" si="24">+X69</f>
        <v>433100.63157894742</v>
      </c>
      <c r="Z69" s="6">
        <f t="shared" si="24"/>
        <v>433100.63157894742</v>
      </c>
      <c r="AA69" s="6">
        <f t="shared" si="24"/>
        <v>433100.63157894742</v>
      </c>
      <c r="AB69" s="6">
        <f t="shared" si="24"/>
        <v>433100.63157894742</v>
      </c>
      <c r="AC69" s="6">
        <f t="shared" si="24"/>
        <v>433100.63157894742</v>
      </c>
      <c r="AD69" s="6">
        <f t="shared" si="24"/>
        <v>433100.63157894742</v>
      </c>
      <c r="AE69" s="6">
        <f t="shared" si="24"/>
        <v>433100.63157894742</v>
      </c>
      <c r="AF69" s="6">
        <f t="shared" si="24"/>
        <v>433100.63157894742</v>
      </c>
      <c r="AG69" s="6">
        <f t="shared" si="24"/>
        <v>433100.63157894742</v>
      </c>
      <c r="AH69" s="6">
        <f t="shared" si="24"/>
        <v>433100.63157894742</v>
      </c>
      <c r="AI69" s="6">
        <f t="shared" si="24"/>
        <v>433100.63157894742</v>
      </c>
      <c r="AJ69" s="6">
        <f t="shared" si="24"/>
        <v>433100.63157894742</v>
      </c>
      <c r="AK69" s="6">
        <f t="shared" si="24"/>
        <v>433100.63157894742</v>
      </c>
      <c r="AL69" s="6">
        <f t="shared" si="24"/>
        <v>433100.63157894742</v>
      </c>
      <c r="AM69" s="6">
        <f t="shared" si="24"/>
        <v>433100.63157894742</v>
      </c>
      <c r="AN69" s="6">
        <f t="shared" si="24"/>
        <v>433100.63157894742</v>
      </c>
      <c r="AO69" s="6">
        <f t="shared" si="24"/>
        <v>433100.63157894742</v>
      </c>
      <c r="AP69" s="6">
        <f t="shared" si="24"/>
        <v>433100.63157894742</v>
      </c>
      <c r="AQ69" s="6">
        <f t="shared" si="24"/>
        <v>433100.63157894742</v>
      </c>
      <c r="AR69" s="6">
        <f t="shared" si="24"/>
        <v>433100.63157894742</v>
      </c>
      <c r="AS69" s="6">
        <f t="shared" si="24"/>
        <v>433100.63157894742</v>
      </c>
      <c r="AT69" s="6">
        <f t="shared" si="24"/>
        <v>433100.63157894742</v>
      </c>
      <c r="AU69" s="6">
        <f t="shared" si="24"/>
        <v>433100.63157894742</v>
      </c>
      <c r="AV69" s="6">
        <f t="shared" si="24"/>
        <v>433100.63157894742</v>
      </c>
      <c r="AW69" s="6">
        <f t="shared" si="24"/>
        <v>433100.63157894742</v>
      </c>
      <c r="AX69" s="6">
        <f t="shared" si="24"/>
        <v>433100.63157894742</v>
      </c>
      <c r="AY69" s="6">
        <f t="shared" si="24"/>
        <v>433100.63157894742</v>
      </c>
      <c r="AZ69" s="6">
        <f t="shared" si="24"/>
        <v>433100.63157894742</v>
      </c>
      <c r="BA69" s="6">
        <f t="shared" si="24"/>
        <v>433100.63157894742</v>
      </c>
      <c r="BB69" s="6">
        <f t="shared" si="24"/>
        <v>433100.63157894742</v>
      </c>
      <c r="BC69" s="6">
        <f t="shared" si="24"/>
        <v>433100.63157894742</v>
      </c>
      <c r="BD69" s="6">
        <f t="shared" si="24"/>
        <v>433100.63157894742</v>
      </c>
      <c r="BE69" s="6">
        <f t="shared" si="24"/>
        <v>433100.63157894742</v>
      </c>
      <c r="BF69" s="6">
        <f t="shared" si="24"/>
        <v>433100.63157894742</v>
      </c>
      <c r="BG69" s="6">
        <f t="shared" si="24"/>
        <v>433100.63157894742</v>
      </c>
      <c r="BH69" s="6">
        <f t="shared" si="24"/>
        <v>433100.63157894742</v>
      </c>
      <c r="BI69" s="6">
        <f t="shared" si="24"/>
        <v>433100.63157894742</v>
      </c>
      <c r="BJ69" s="6"/>
      <c r="BK69" s="6"/>
      <c r="BL69" s="6">
        <f t="shared" si="17"/>
        <v>16657824.000000019</v>
      </c>
      <c r="BM69" s="194">
        <v>1.6763806343078613E-8</v>
      </c>
    </row>
    <row r="70" spans="2:68" ht="15.75" customHeight="1" outlineLevel="1" x14ac:dyDescent="0.3">
      <c r="B70" s="3" t="s">
        <v>43</v>
      </c>
      <c r="C70" s="202">
        <v>95580</v>
      </c>
      <c r="D70" s="205">
        <v>0</v>
      </c>
      <c r="E70" s="205">
        <v>0</v>
      </c>
      <c r="F70" s="205">
        <v>0</v>
      </c>
      <c r="G70" s="205">
        <v>0</v>
      </c>
      <c r="H70" s="205">
        <v>0</v>
      </c>
      <c r="I70" s="205">
        <v>0</v>
      </c>
      <c r="J70" s="205">
        <v>0</v>
      </c>
      <c r="K70" s="205">
        <v>0</v>
      </c>
      <c r="L70" s="205">
        <v>0</v>
      </c>
      <c r="M70" s="205">
        <v>101952</v>
      </c>
      <c r="N70" s="205">
        <v>0</v>
      </c>
      <c r="O70" s="6"/>
      <c r="P70" s="6"/>
      <c r="Q70" s="6"/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f t="shared" si="17"/>
        <v>197532</v>
      </c>
      <c r="BM70" s="194">
        <v>0</v>
      </c>
    </row>
    <row r="71" spans="2:68" ht="15.75" customHeight="1" outlineLevel="1" x14ac:dyDescent="0.3">
      <c r="B71" s="3" t="s">
        <v>44</v>
      </c>
      <c r="C71" s="6"/>
      <c r="D71" s="6"/>
      <c r="F71" s="6"/>
      <c r="G71" s="6"/>
      <c r="H71" s="6"/>
      <c r="I71" s="6"/>
      <c r="J71" s="6"/>
      <c r="K71" s="6"/>
      <c r="L71" s="6"/>
      <c r="M71" s="6"/>
      <c r="P71" s="6"/>
      <c r="Q71" s="6"/>
      <c r="R71" s="6"/>
      <c r="S71" s="6"/>
      <c r="T71" s="6"/>
      <c r="U71" s="6"/>
      <c r="V71" s="6"/>
      <c r="W71" s="6"/>
      <c r="X71" s="6"/>
      <c r="Y71" s="6"/>
      <c r="AA71" s="6"/>
      <c r="AB71" s="6"/>
      <c r="AC71" s="6"/>
      <c r="AD71" s="6">
        <v>4231023.8112000003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f t="shared" si="17"/>
        <v>4231023.8112000003</v>
      </c>
    </row>
    <row r="72" spans="2:68" ht="15.75" customHeight="1" x14ac:dyDescent="0.3">
      <c r="B72" s="197" t="s">
        <v>18</v>
      </c>
      <c r="C72" s="197">
        <f t="shared" ref="C72:AU72" si="25">SUM(C65:C71)</f>
        <v>179973.6</v>
      </c>
      <c r="D72" s="197">
        <f t="shared" si="25"/>
        <v>0</v>
      </c>
      <c r="E72" s="197">
        <f t="shared" si="25"/>
        <v>0</v>
      </c>
      <c r="F72" s="197">
        <f t="shared" si="25"/>
        <v>0</v>
      </c>
      <c r="G72" s="197">
        <f t="shared" si="25"/>
        <v>0</v>
      </c>
      <c r="H72" s="197">
        <f t="shared" si="25"/>
        <v>0</v>
      </c>
      <c r="I72" s="197">
        <f t="shared" ref="I72:L72" si="26">SUM(I65:I71)</f>
        <v>0</v>
      </c>
      <c r="J72" s="197">
        <f t="shared" si="26"/>
        <v>0</v>
      </c>
      <c r="K72" s="197">
        <f t="shared" si="26"/>
        <v>0</v>
      </c>
      <c r="L72" s="197">
        <f t="shared" si="26"/>
        <v>0</v>
      </c>
      <c r="M72" s="197">
        <f t="shared" si="25"/>
        <v>251952</v>
      </c>
      <c r="N72" s="197">
        <f t="shared" si="25"/>
        <v>25000</v>
      </c>
      <c r="O72" s="197">
        <f t="shared" si="25"/>
        <v>25000</v>
      </c>
      <c r="P72" s="197">
        <f t="shared" si="25"/>
        <v>0</v>
      </c>
      <c r="Q72" s="197">
        <f t="shared" si="25"/>
        <v>0</v>
      </c>
      <c r="R72" s="197">
        <f t="shared" si="25"/>
        <v>0</v>
      </c>
      <c r="S72" s="197">
        <f t="shared" si="25"/>
        <v>0</v>
      </c>
      <c r="T72" s="197">
        <f t="shared" si="25"/>
        <v>0</v>
      </c>
      <c r="U72" s="197">
        <f t="shared" si="25"/>
        <v>0</v>
      </c>
      <c r="V72" s="197">
        <f t="shared" si="25"/>
        <v>0</v>
      </c>
      <c r="W72" s="197">
        <f t="shared" si="25"/>
        <v>0</v>
      </c>
      <c r="X72" s="197">
        <f t="shared" si="25"/>
        <v>576862.44026947371</v>
      </c>
      <c r="Y72" s="197">
        <f t="shared" si="25"/>
        <v>576862.44026947371</v>
      </c>
      <c r="Z72" s="197">
        <f>SUM(Z65:Z71)</f>
        <v>1963698.0228294737</v>
      </c>
      <c r="AA72" s="197">
        <f t="shared" si="25"/>
        <v>576862.44026947371</v>
      </c>
      <c r="AB72" s="197">
        <f t="shared" si="25"/>
        <v>576862.44026947371</v>
      </c>
      <c r="AC72" s="197">
        <f t="shared" si="25"/>
        <v>576862.44026947371</v>
      </c>
      <c r="AD72" s="197">
        <f>SUM(AD65:AD71)</f>
        <v>4807886.2514694743</v>
      </c>
      <c r="AE72" s="197">
        <f t="shared" si="25"/>
        <v>576862.44026947371</v>
      </c>
      <c r="AF72" s="197">
        <f t="shared" si="25"/>
        <v>576862.44026947371</v>
      </c>
      <c r="AG72" s="197">
        <f t="shared" si="25"/>
        <v>1963698.0228294737</v>
      </c>
      <c r="AH72" s="197">
        <f t="shared" si="25"/>
        <v>576862.44026947371</v>
      </c>
      <c r="AI72" s="197">
        <f t="shared" si="25"/>
        <v>782319.56361169601</v>
      </c>
      <c r="AJ72" s="197">
        <f t="shared" si="25"/>
        <v>782319.56361169601</v>
      </c>
      <c r="AK72" s="197">
        <f t="shared" si="25"/>
        <v>2169155.146171696</v>
      </c>
      <c r="AL72" s="197">
        <f t="shared" si="25"/>
        <v>782319.56361169601</v>
      </c>
      <c r="AM72" s="197">
        <f t="shared" si="25"/>
        <v>782319.56361169601</v>
      </c>
      <c r="AN72" s="197">
        <f t="shared" si="25"/>
        <v>2169155.146171696</v>
      </c>
      <c r="AO72" s="197">
        <f t="shared" si="25"/>
        <v>782319.56361169601</v>
      </c>
      <c r="AP72" s="197">
        <f t="shared" si="25"/>
        <v>782319.56361169601</v>
      </c>
      <c r="AQ72" s="197">
        <f t="shared" si="25"/>
        <v>782319.56361169601</v>
      </c>
      <c r="AR72" s="197">
        <f t="shared" si="25"/>
        <v>782319.56361169601</v>
      </c>
      <c r="AS72" s="197">
        <f t="shared" si="25"/>
        <v>782319.56361169601</v>
      </c>
      <c r="AT72" s="197">
        <f t="shared" si="25"/>
        <v>782319.56361169601</v>
      </c>
      <c r="AU72" s="197">
        <f t="shared" si="25"/>
        <v>782319.56361169601</v>
      </c>
      <c r="AV72" s="197">
        <f t="shared" ref="AV72:BK72" si="27">SUM(AV65:AV71)</f>
        <v>782319.56361169601</v>
      </c>
      <c r="AW72" s="197">
        <f t="shared" si="27"/>
        <v>782319.56361169601</v>
      </c>
      <c r="AX72" s="197">
        <f t="shared" si="27"/>
        <v>782319.56361169601</v>
      </c>
      <c r="AY72" s="197">
        <f t="shared" si="27"/>
        <v>782319.56361169601</v>
      </c>
      <c r="AZ72" s="197">
        <f t="shared" si="27"/>
        <v>782319.56361169601</v>
      </c>
      <c r="BA72" s="197">
        <f t="shared" si="27"/>
        <v>782319.56361169601</v>
      </c>
      <c r="BB72" s="197">
        <f t="shared" si="27"/>
        <v>782319.56361169601</v>
      </c>
      <c r="BC72" s="197">
        <f t="shared" si="27"/>
        <v>782319.56361169601</v>
      </c>
      <c r="BD72" s="197">
        <f t="shared" si="27"/>
        <v>782319.56361169601</v>
      </c>
      <c r="BE72" s="197">
        <f t="shared" si="27"/>
        <v>782319.56361169601</v>
      </c>
      <c r="BF72" s="197">
        <f t="shared" si="27"/>
        <v>782319.56361169601</v>
      </c>
      <c r="BG72" s="197">
        <f t="shared" si="27"/>
        <v>782319.56361169601</v>
      </c>
      <c r="BH72" s="197">
        <f t="shared" si="27"/>
        <v>782319.56361169601</v>
      </c>
      <c r="BI72" s="197">
        <f t="shared" si="27"/>
        <v>782319.56361169601</v>
      </c>
      <c r="BJ72" s="197">
        <f t="shared" si="27"/>
        <v>0</v>
      </c>
      <c r="BK72" s="197">
        <f t="shared" si="27"/>
        <v>0</v>
      </c>
      <c r="BL72" s="198">
        <f t="shared" si="17"/>
        <v>37728406.801920012</v>
      </c>
      <c r="BM72" s="8" t="s">
        <v>166</v>
      </c>
      <c r="BN72" s="8">
        <v>0</v>
      </c>
    </row>
    <row r="73" spans="2:68" ht="15.75" customHeight="1" x14ac:dyDescent="0.3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3"/>
      <c r="BP73" s="3"/>
    </row>
    <row r="74" spans="2:68" ht="15.75" customHeight="1" x14ac:dyDescent="0.3">
      <c r="B74" s="196" t="s">
        <v>45</v>
      </c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  <c r="AI74" s="196"/>
      <c r="AJ74" s="196"/>
      <c r="AK74" s="196"/>
      <c r="AL74" s="196"/>
      <c r="AM74" s="196"/>
      <c r="AN74" s="196"/>
      <c r="AO74" s="196"/>
      <c r="AP74" s="196"/>
      <c r="AQ74" s="196"/>
      <c r="AR74" s="196"/>
      <c r="AS74" s="196"/>
      <c r="AT74" s="196"/>
      <c r="AU74" s="196"/>
      <c r="AV74" s="196"/>
      <c r="AW74" s="196"/>
      <c r="AX74" s="196"/>
      <c r="AY74" s="196"/>
      <c r="AZ74" s="196"/>
      <c r="BA74" s="196"/>
      <c r="BB74" s="196"/>
      <c r="BC74" s="196"/>
      <c r="BD74" s="196"/>
      <c r="BE74" s="196"/>
      <c r="BF74" s="196"/>
      <c r="BG74" s="196"/>
      <c r="BH74" s="196"/>
      <c r="BI74" s="196"/>
      <c r="BJ74" s="196"/>
      <c r="BK74" s="196"/>
    </row>
    <row r="75" spans="2:68" ht="15.75" customHeight="1" outlineLevel="1" x14ac:dyDescent="0.3">
      <c r="B75" s="3" t="s">
        <v>46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1021714.6915615343</v>
      </c>
      <c r="AG75" s="6">
        <v>1441959.7731035657</v>
      </c>
      <c r="AH75" s="6">
        <v>1884528.5659047132</v>
      </c>
      <c r="AI75" s="6">
        <v>2288951.8509951727</v>
      </c>
      <c r="AJ75" s="6">
        <v>2722851.2214626861</v>
      </c>
      <c r="AK75" s="6">
        <v>2980425.188986789</v>
      </c>
      <c r="AL75" s="6">
        <v>3223358.9308106299</v>
      </c>
      <c r="AM75" s="6">
        <v>3426462.731000056</v>
      </c>
      <c r="AN75" s="6">
        <v>3699068.1076268088</v>
      </c>
      <c r="AO75" s="6">
        <v>4055706.2827284159</v>
      </c>
      <c r="AP75" s="6">
        <v>4363396.3455142435</v>
      </c>
      <c r="AQ75" s="6">
        <v>4586836.0127881225</v>
      </c>
      <c r="AR75" s="6">
        <v>4835992.6269913577</v>
      </c>
      <c r="AS75" s="6">
        <v>5017130.8810121324</v>
      </c>
      <c r="AT75" s="6">
        <v>5115907.1345935324</v>
      </c>
      <c r="AU75" s="6">
        <v>5136328.51139603</v>
      </c>
      <c r="AV75" s="6">
        <v>4696611.3354169242</v>
      </c>
      <c r="AW75" s="6">
        <v>4769327.9339999976</v>
      </c>
      <c r="AX75" s="6">
        <v>4428661.6529999971</v>
      </c>
      <c r="AY75" s="6">
        <v>4087995.3719999972</v>
      </c>
      <c r="AZ75" s="6">
        <v>3747329.0909999972</v>
      </c>
      <c r="BA75" s="6">
        <v>3406662.8099999968</v>
      </c>
      <c r="BB75" s="6">
        <v>3065996.5289999968</v>
      </c>
      <c r="BC75" s="6">
        <v>2725330.2479999973</v>
      </c>
      <c r="BD75" s="6">
        <v>2384663.9669999974</v>
      </c>
      <c r="BE75" s="6">
        <v>2043997.6859999974</v>
      </c>
      <c r="BF75" s="6">
        <v>1703331.4049999977</v>
      </c>
      <c r="BG75" s="6">
        <v>1362665.123999998</v>
      </c>
      <c r="BH75" s="6">
        <v>1021998.842999998</v>
      </c>
      <c r="BI75" s="6">
        <v>510999.42149999819</v>
      </c>
      <c r="BJ75" s="6">
        <v>-1.6763806343078612E-9</v>
      </c>
      <c r="BK75" s="6">
        <v>0</v>
      </c>
      <c r="BL75" s="6">
        <f t="shared" ref="BL75:BL78" si="28">SUM(C75:BK75)</f>
        <v>95756190.275392681</v>
      </c>
    </row>
    <row r="76" spans="2:68" ht="15.75" customHeight="1" outlineLevel="1" x14ac:dyDescent="0.3">
      <c r="B76" s="6" t="s">
        <v>154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20745976.859999999</v>
      </c>
      <c r="AK76" s="6">
        <v>20745976.859999999</v>
      </c>
      <c r="AL76" s="6">
        <v>20745976.859999999</v>
      </c>
      <c r="AM76" s="6">
        <v>20745976.859999999</v>
      </c>
      <c r="AN76" s="6">
        <v>20745976.859999999</v>
      </c>
      <c r="AO76" s="6">
        <v>20745976.859999999</v>
      </c>
      <c r="AP76" s="6">
        <v>20745976.859999999</v>
      </c>
      <c r="AQ76" s="6">
        <v>20745976.859999999</v>
      </c>
      <c r="AR76" s="6">
        <v>20745976.859999999</v>
      </c>
      <c r="AS76" s="6">
        <v>20745976.859999999</v>
      </c>
      <c r="AT76" s="6">
        <v>20745976.859999999</v>
      </c>
      <c r="AU76" s="6">
        <v>48407279.340000004</v>
      </c>
      <c r="AV76" s="6">
        <v>0</v>
      </c>
      <c r="AW76" s="6">
        <v>27253302.479999993</v>
      </c>
      <c r="AX76" s="6">
        <v>27253302.479999993</v>
      </c>
      <c r="AY76" s="6">
        <v>27253302.479999993</v>
      </c>
      <c r="AZ76" s="6">
        <v>27253302.479999993</v>
      </c>
      <c r="BA76" s="6">
        <v>27253302.479999993</v>
      </c>
      <c r="BB76" s="6">
        <v>27253302.479999993</v>
      </c>
      <c r="BC76" s="6">
        <v>27253302.479999993</v>
      </c>
      <c r="BD76" s="6">
        <v>27253302.479999993</v>
      </c>
      <c r="BE76" s="6">
        <v>27253302.479999993</v>
      </c>
      <c r="BF76" s="6">
        <v>27253302.479999993</v>
      </c>
      <c r="BG76" s="6">
        <v>27253302.479999993</v>
      </c>
      <c r="BH76" s="6">
        <v>40879953.719999991</v>
      </c>
      <c r="BI76" s="6">
        <v>40879953.719999991</v>
      </c>
      <c r="BJ76" s="6"/>
      <c r="BK76" s="6"/>
      <c r="BL76" s="6">
        <f t="shared" si="28"/>
        <v>658159259.52000034</v>
      </c>
      <c r="BM76" s="6"/>
      <c r="BN76" s="6"/>
    </row>
    <row r="77" spans="2:68" ht="15.75" customHeight="1" outlineLevel="1" x14ac:dyDescent="0.3">
      <c r="B77" s="6" t="s">
        <v>68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f t="shared" si="28"/>
        <v>0</v>
      </c>
      <c r="BM77" s="6"/>
      <c r="BN77" s="6"/>
    </row>
    <row r="78" spans="2:68" ht="15.75" customHeight="1" x14ac:dyDescent="0.3">
      <c r="B78" s="197" t="s">
        <v>18</v>
      </c>
      <c r="C78" s="197">
        <f t="shared" ref="C78:AU78" si="29">SUM(C75:C77)</f>
        <v>0</v>
      </c>
      <c r="D78" s="197">
        <f t="shared" si="29"/>
        <v>0</v>
      </c>
      <c r="E78" s="197">
        <f t="shared" si="29"/>
        <v>0</v>
      </c>
      <c r="F78" s="197">
        <f t="shared" si="29"/>
        <v>0</v>
      </c>
      <c r="G78" s="197">
        <f t="shared" si="29"/>
        <v>0</v>
      </c>
      <c r="H78" s="197">
        <f t="shared" si="29"/>
        <v>0</v>
      </c>
      <c r="I78" s="197">
        <f t="shared" si="29"/>
        <v>0</v>
      </c>
      <c r="J78" s="197">
        <f t="shared" si="29"/>
        <v>0</v>
      </c>
      <c r="K78" s="197">
        <f t="shared" si="29"/>
        <v>0</v>
      </c>
      <c r="L78" s="197">
        <f t="shared" si="29"/>
        <v>0</v>
      </c>
      <c r="M78" s="197">
        <f t="shared" si="29"/>
        <v>0</v>
      </c>
      <c r="N78" s="197">
        <f t="shared" si="29"/>
        <v>0</v>
      </c>
      <c r="O78" s="197">
        <f t="shared" si="29"/>
        <v>0</v>
      </c>
      <c r="P78" s="197">
        <f t="shared" si="29"/>
        <v>0</v>
      </c>
      <c r="Q78" s="197">
        <f t="shared" si="29"/>
        <v>0</v>
      </c>
      <c r="R78" s="197">
        <f t="shared" si="29"/>
        <v>0</v>
      </c>
      <c r="S78" s="197">
        <f t="shared" si="29"/>
        <v>0</v>
      </c>
      <c r="T78" s="197">
        <f t="shared" si="29"/>
        <v>0</v>
      </c>
      <c r="U78" s="197">
        <f t="shared" si="29"/>
        <v>0</v>
      </c>
      <c r="V78" s="197">
        <f t="shared" si="29"/>
        <v>0</v>
      </c>
      <c r="W78" s="197">
        <f t="shared" si="29"/>
        <v>0</v>
      </c>
      <c r="X78" s="197">
        <f t="shared" si="29"/>
        <v>0</v>
      </c>
      <c r="Y78" s="197">
        <f t="shared" si="29"/>
        <v>0</v>
      </c>
      <c r="Z78" s="197">
        <f t="shared" si="29"/>
        <v>0</v>
      </c>
      <c r="AA78" s="197">
        <f t="shared" si="29"/>
        <v>0</v>
      </c>
      <c r="AB78" s="197">
        <f t="shared" si="29"/>
        <v>0</v>
      </c>
      <c r="AC78" s="197">
        <f t="shared" si="29"/>
        <v>0</v>
      </c>
      <c r="AD78" s="197">
        <f t="shared" si="29"/>
        <v>0</v>
      </c>
      <c r="AE78" s="197">
        <f t="shared" si="29"/>
        <v>0</v>
      </c>
      <c r="AF78" s="197">
        <f t="shared" si="29"/>
        <v>1021714.6915615343</v>
      </c>
      <c r="AG78" s="197">
        <f t="shared" si="29"/>
        <v>1441959.7731035657</v>
      </c>
      <c r="AH78" s="197">
        <f t="shared" si="29"/>
        <v>1884528.5659047132</v>
      </c>
      <c r="AI78" s="197">
        <f t="shared" si="29"/>
        <v>2288951.8509951727</v>
      </c>
      <c r="AJ78" s="197">
        <f t="shared" si="29"/>
        <v>23468828.081462685</v>
      </c>
      <c r="AK78" s="197">
        <f t="shared" si="29"/>
        <v>23726402.048986789</v>
      </c>
      <c r="AL78" s="197">
        <f t="shared" si="29"/>
        <v>23969335.79081063</v>
      </c>
      <c r="AM78" s="197">
        <f t="shared" si="29"/>
        <v>24172439.591000054</v>
      </c>
      <c r="AN78" s="197">
        <f t="shared" si="29"/>
        <v>24445044.96762681</v>
      </c>
      <c r="AO78" s="197">
        <f t="shared" si="29"/>
        <v>24801683.142728414</v>
      </c>
      <c r="AP78" s="197">
        <f t="shared" si="29"/>
        <v>25109373.205514245</v>
      </c>
      <c r="AQ78" s="197">
        <f t="shared" si="29"/>
        <v>25332812.872788124</v>
      </c>
      <c r="AR78" s="197">
        <f t="shared" si="29"/>
        <v>25581969.486991357</v>
      </c>
      <c r="AS78" s="197">
        <f t="shared" si="29"/>
        <v>25763107.741012134</v>
      </c>
      <c r="AT78" s="197">
        <f t="shared" si="29"/>
        <v>25861883.994593531</v>
      </c>
      <c r="AU78" s="197">
        <f t="shared" si="29"/>
        <v>53543607.851396032</v>
      </c>
      <c r="AV78" s="197">
        <f t="shared" ref="AV78:BK78" si="30">SUM(AV75:AV77)</f>
        <v>4696611.3354169242</v>
      </c>
      <c r="AW78" s="197">
        <f t="shared" si="30"/>
        <v>32022630.41399999</v>
      </c>
      <c r="AX78" s="197">
        <f t="shared" si="30"/>
        <v>31681964.13299999</v>
      </c>
      <c r="AY78" s="197">
        <f t="shared" si="30"/>
        <v>31341297.851999991</v>
      </c>
      <c r="AZ78" s="197">
        <f t="shared" si="30"/>
        <v>31000631.570999991</v>
      </c>
      <c r="BA78" s="197">
        <f t="shared" si="30"/>
        <v>30659965.289999992</v>
      </c>
      <c r="BB78" s="197">
        <f t="shared" si="30"/>
        <v>30319299.008999988</v>
      </c>
      <c r="BC78" s="197">
        <f t="shared" si="30"/>
        <v>29978632.727999989</v>
      </c>
      <c r="BD78" s="197">
        <f t="shared" si="30"/>
        <v>29637966.446999989</v>
      </c>
      <c r="BE78" s="197">
        <f t="shared" si="30"/>
        <v>29297300.16599999</v>
      </c>
      <c r="BF78" s="197">
        <f t="shared" si="30"/>
        <v>28956633.88499999</v>
      </c>
      <c r="BG78" s="197">
        <f t="shared" si="30"/>
        <v>28615967.603999991</v>
      </c>
      <c r="BH78" s="197">
        <f t="shared" si="30"/>
        <v>41901952.562999986</v>
      </c>
      <c r="BI78" s="197">
        <f t="shared" si="30"/>
        <v>41390953.141499989</v>
      </c>
      <c r="BJ78" s="197">
        <f t="shared" si="30"/>
        <v>-1.6763806343078612E-9</v>
      </c>
      <c r="BK78" s="197">
        <f t="shared" si="30"/>
        <v>0</v>
      </c>
      <c r="BL78" s="198">
        <f t="shared" si="28"/>
        <v>753915449.79539263</v>
      </c>
      <c r="BM78" s="8">
        <v>778917917.79539263</v>
      </c>
      <c r="BN78" s="8"/>
    </row>
    <row r="79" spans="2:68" ht="15.75" customHeight="1" x14ac:dyDescent="0.3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143">
        <v>1509818.1818181819</v>
      </c>
      <c r="O79" s="206">
        <f>+N79-N82</f>
        <v>1509818.1818181819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</row>
    <row r="80" spans="2:68" ht="15.75" customHeight="1" x14ac:dyDescent="0.3">
      <c r="B80" s="196" t="s">
        <v>155</v>
      </c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96"/>
      <c r="AC80" s="196"/>
      <c r="AD80" s="196"/>
      <c r="AE80" s="196"/>
      <c r="AF80" s="196"/>
      <c r="AG80" s="196"/>
      <c r="AH80" s="196"/>
      <c r="AI80" s="196"/>
      <c r="AJ80" s="196"/>
      <c r="AK80" s="196"/>
      <c r="AL80" s="196"/>
      <c r="AM80" s="196"/>
      <c r="AN80" s="196"/>
      <c r="AO80" s="196"/>
      <c r="AP80" s="196"/>
      <c r="AQ80" s="196"/>
      <c r="AR80" s="196"/>
      <c r="AS80" s="196"/>
      <c r="AT80" s="196"/>
      <c r="AU80" s="196"/>
      <c r="AV80" s="196"/>
      <c r="AW80" s="196"/>
      <c r="AX80" s="196"/>
      <c r="AY80" s="196"/>
      <c r="AZ80" s="196"/>
      <c r="BA80" s="196"/>
      <c r="BB80" s="196"/>
      <c r="BC80" s="196"/>
      <c r="BD80" s="196"/>
      <c r="BE80" s="196"/>
      <c r="BF80" s="196"/>
      <c r="BG80" s="196"/>
      <c r="BH80" s="196"/>
      <c r="BI80" s="196"/>
      <c r="BJ80" s="196"/>
      <c r="BK80" s="196"/>
    </row>
    <row r="81" spans="2:69" ht="15.75" customHeight="1" outlineLevel="1" x14ac:dyDescent="0.3"/>
    <row r="82" spans="2:69" ht="15.75" customHeight="1" outlineLevel="1" x14ac:dyDescent="0.3">
      <c r="B82" s="82" t="s">
        <v>156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>
        <v>1000000</v>
      </c>
      <c r="AA82" s="6">
        <f t="shared" ref="AA82:BD82" si="31">+Z82</f>
        <v>1000000</v>
      </c>
      <c r="AB82" s="6">
        <f t="shared" si="31"/>
        <v>1000000</v>
      </c>
      <c r="AC82" s="6">
        <f t="shared" si="31"/>
        <v>1000000</v>
      </c>
      <c r="AD82" s="6">
        <f t="shared" si="31"/>
        <v>1000000</v>
      </c>
      <c r="AE82" s="6">
        <f t="shared" si="31"/>
        <v>1000000</v>
      </c>
      <c r="AF82" s="6">
        <f t="shared" si="31"/>
        <v>1000000</v>
      </c>
      <c r="AG82" s="6">
        <f t="shared" si="31"/>
        <v>1000000</v>
      </c>
      <c r="AH82" s="6">
        <f t="shared" si="31"/>
        <v>1000000</v>
      </c>
      <c r="AI82" s="6">
        <f t="shared" si="31"/>
        <v>1000000</v>
      </c>
      <c r="AJ82" s="6">
        <f t="shared" si="31"/>
        <v>1000000</v>
      </c>
      <c r="AK82" s="6">
        <f t="shared" si="31"/>
        <v>1000000</v>
      </c>
      <c r="AL82" s="6">
        <f t="shared" si="31"/>
        <v>1000000</v>
      </c>
      <c r="AM82" s="6">
        <f t="shared" si="31"/>
        <v>1000000</v>
      </c>
      <c r="AN82" s="6">
        <f t="shared" si="31"/>
        <v>1000000</v>
      </c>
      <c r="AO82" s="6">
        <f t="shared" si="31"/>
        <v>1000000</v>
      </c>
      <c r="AP82" s="6">
        <f t="shared" si="31"/>
        <v>1000000</v>
      </c>
      <c r="AQ82" s="6">
        <f t="shared" si="31"/>
        <v>1000000</v>
      </c>
      <c r="AR82" s="6">
        <f t="shared" si="31"/>
        <v>1000000</v>
      </c>
      <c r="AS82" s="6">
        <f t="shared" si="31"/>
        <v>1000000</v>
      </c>
      <c r="AT82" s="6">
        <f t="shared" si="31"/>
        <v>1000000</v>
      </c>
      <c r="AU82" s="6">
        <f t="shared" si="31"/>
        <v>1000000</v>
      </c>
      <c r="AV82" s="6">
        <f t="shared" si="31"/>
        <v>1000000</v>
      </c>
      <c r="AW82" s="6">
        <f t="shared" si="31"/>
        <v>1000000</v>
      </c>
      <c r="AX82" s="6">
        <f t="shared" si="31"/>
        <v>1000000</v>
      </c>
      <c r="AY82" s="6">
        <f t="shared" si="31"/>
        <v>1000000</v>
      </c>
      <c r="AZ82" s="6">
        <f t="shared" si="31"/>
        <v>1000000</v>
      </c>
      <c r="BA82" s="6">
        <f t="shared" si="31"/>
        <v>1000000</v>
      </c>
      <c r="BB82" s="6">
        <f t="shared" si="31"/>
        <v>1000000</v>
      </c>
      <c r="BC82" s="6">
        <f t="shared" si="31"/>
        <v>1000000</v>
      </c>
      <c r="BD82" s="6">
        <f t="shared" si="31"/>
        <v>1000000</v>
      </c>
      <c r="BE82" s="6">
        <v>18824000</v>
      </c>
      <c r="BF82" s="6"/>
      <c r="BG82" s="6"/>
      <c r="BH82" s="6"/>
      <c r="BI82" s="6"/>
      <c r="BJ82" s="6"/>
      <c r="BK82" s="6"/>
      <c r="BL82" s="6">
        <f t="shared" ref="BL82:BL84" si="32">SUM(C82:BK82)</f>
        <v>49824000</v>
      </c>
      <c r="BM82" s="6"/>
      <c r="BN82" s="6"/>
    </row>
    <row r="83" spans="2:69" ht="15.75" customHeight="1" outlineLevel="1" x14ac:dyDescent="0.3">
      <c r="B83" s="74" t="s">
        <v>41</v>
      </c>
      <c r="C83" s="6"/>
      <c r="D83" s="6"/>
      <c r="E83" s="6"/>
      <c r="F83" s="6"/>
      <c r="G83" s="6"/>
      <c r="H83" s="6"/>
      <c r="I83" s="6">
        <f>+SUM(C82:I82)*18%</f>
        <v>0</v>
      </c>
      <c r="J83" s="6">
        <f t="shared" ref="J83:AU83" si="33">+SUM(J81:J82)*18%</f>
        <v>0</v>
      </c>
      <c r="K83" s="6">
        <f t="shared" si="33"/>
        <v>0</v>
      </c>
      <c r="L83" s="6">
        <f t="shared" si="33"/>
        <v>0</v>
      </c>
      <c r="M83" s="6">
        <f t="shared" si="33"/>
        <v>0</v>
      </c>
      <c r="N83" s="6">
        <f t="shared" si="33"/>
        <v>0</v>
      </c>
      <c r="O83" s="6">
        <f t="shared" si="33"/>
        <v>0</v>
      </c>
      <c r="P83" s="6">
        <f t="shared" si="33"/>
        <v>0</v>
      </c>
      <c r="Q83" s="6">
        <f t="shared" si="33"/>
        <v>0</v>
      </c>
      <c r="R83" s="6">
        <f t="shared" si="33"/>
        <v>0</v>
      </c>
      <c r="S83" s="6">
        <f t="shared" si="33"/>
        <v>0</v>
      </c>
      <c r="T83" s="6">
        <f t="shared" si="33"/>
        <v>0</v>
      </c>
      <c r="U83" s="6">
        <f t="shared" si="33"/>
        <v>0</v>
      </c>
      <c r="V83" s="6">
        <f t="shared" si="33"/>
        <v>0</v>
      </c>
      <c r="W83" s="6">
        <f t="shared" si="33"/>
        <v>0</v>
      </c>
      <c r="X83" s="6">
        <f t="shared" si="33"/>
        <v>0</v>
      </c>
      <c r="Y83" s="6">
        <f t="shared" si="33"/>
        <v>0</v>
      </c>
      <c r="Z83" s="6">
        <f t="shared" si="33"/>
        <v>180000</v>
      </c>
      <c r="AA83" s="6">
        <f t="shared" si="33"/>
        <v>180000</v>
      </c>
      <c r="AB83" s="6">
        <f t="shared" si="33"/>
        <v>180000</v>
      </c>
      <c r="AC83" s="6">
        <f t="shared" si="33"/>
        <v>180000</v>
      </c>
      <c r="AD83" s="6">
        <f t="shared" si="33"/>
        <v>180000</v>
      </c>
      <c r="AE83" s="6">
        <f t="shared" si="33"/>
        <v>180000</v>
      </c>
      <c r="AF83" s="6">
        <f t="shared" si="33"/>
        <v>180000</v>
      </c>
      <c r="AG83" s="6">
        <f t="shared" si="33"/>
        <v>180000</v>
      </c>
      <c r="AH83" s="6">
        <f t="shared" si="33"/>
        <v>180000</v>
      </c>
      <c r="AI83" s="6">
        <f t="shared" si="33"/>
        <v>180000</v>
      </c>
      <c r="AJ83" s="6">
        <f t="shared" si="33"/>
        <v>180000</v>
      </c>
      <c r="AK83" s="6">
        <f t="shared" si="33"/>
        <v>180000</v>
      </c>
      <c r="AL83" s="6">
        <f t="shared" si="33"/>
        <v>180000</v>
      </c>
      <c r="AM83" s="6">
        <f t="shared" si="33"/>
        <v>180000</v>
      </c>
      <c r="AN83" s="6">
        <f t="shared" si="33"/>
        <v>180000</v>
      </c>
      <c r="AO83" s="6">
        <f t="shared" si="33"/>
        <v>180000</v>
      </c>
      <c r="AP83" s="6">
        <f t="shared" si="33"/>
        <v>180000</v>
      </c>
      <c r="AQ83" s="6">
        <f t="shared" si="33"/>
        <v>180000</v>
      </c>
      <c r="AR83" s="6">
        <f t="shared" si="33"/>
        <v>180000</v>
      </c>
      <c r="AS83" s="6">
        <f t="shared" si="33"/>
        <v>180000</v>
      </c>
      <c r="AT83" s="6">
        <f t="shared" si="33"/>
        <v>180000</v>
      </c>
      <c r="AU83" s="6">
        <f t="shared" si="33"/>
        <v>180000</v>
      </c>
      <c r="AV83" s="6">
        <f t="shared" ref="AV83:BK83" si="34">+SUM(AV81:AV82)*18%</f>
        <v>180000</v>
      </c>
      <c r="AW83" s="6">
        <f t="shared" si="34"/>
        <v>180000</v>
      </c>
      <c r="AX83" s="6">
        <f t="shared" si="34"/>
        <v>180000</v>
      </c>
      <c r="AY83" s="6">
        <f t="shared" si="34"/>
        <v>180000</v>
      </c>
      <c r="AZ83" s="6">
        <f t="shared" si="34"/>
        <v>180000</v>
      </c>
      <c r="BA83" s="6">
        <f t="shared" si="34"/>
        <v>180000</v>
      </c>
      <c r="BB83" s="6">
        <f t="shared" si="34"/>
        <v>180000</v>
      </c>
      <c r="BC83" s="6">
        <f t="shared" si="34"/>
        <v>180000</v>
      </c>
      <c r="BD83" s="6">
        <f t="shared" si="34"/>
        <v>180000</v>
      </c>
      <c r="BE83" s="6">
        <f t="shared" si="34"/>
        <v>3388320</v>
      </c>
      <c r="BF83" s="6">
        <f t="shared" si="34"/>
        <v>0</v>
      </c>
      <c r="BG83" s="6">
        <f t="shared" si="34"/>
        <v>0</v>
      </c>
      <c r="BH83" s="6">
        <f t="shared" si="34"/>
        <v>0</v>
      </c>
      <c r="BI83" s="6">
        <f t="shared" si="34"/>
        <v>0</v>
      </c>
      <c r="BJ83" s="6">
        <f t="shared" si="34"/>
        <v>0</v>
      </c>
      <c r="BK83" s="6">
        <f t="shared" si="34"/>
        <v>0</v>
      </c>
      <c r="BL83" s="6">
        <f t="shared" si="32"/>
        <v>8968320</v>
      </c>
      <c r="BM83" s="6"/>
    </row>
    <row r="84" spans="2:69" ht="15.75" customHeight="1" x14ac:dyDescent="0.3">
      <c r="B84" s="197" t="s">
        <v>18</v>
      </c>
      <c r="C84" s="197">
        <f t="shared" ref="C84:BK84" si="35">SUM(C82:C83)</f>
        <v>0</v>
      </c>
      <c r="D84" s="197">
        <f t="shared" si="35"/>
        <v>0</v>
      </c>
      <c r="E84" s="197">
        <f t="shared" si="35"/>
        <v>0</v>
      </c>
      <c r="F84" s="197">
        <f t="shared" si="35"/>
        <v>0</v>
      </c>
      <c r="G84" s="197">
        <f t="shared" si="35"/>
        <v>0</v>
      </c>
      <c r="H84" s="197">
        <f t="shared" si="35"/>
        <v>0</v>
      </c>
      <c r="I84" s="197">
        <f t="shared" si="35"/>
        <v>0</v>
      </c>
      <c r="J84" s="197">
        <f t="shared" si="35"/>
        <v>0</v>
      </c>
      <c r="K84" s="197">
        <f t="shared" si="35"/>
        <v>0</v>
      </c>
      <c r="L84" s="197">
        <f t="shared" si="35"/>
        <v>0</v>
      </c>
      <c r="M84" s="197">
        <f t="shared" si="35"/>
        <v>0</v>
      </c>
      <c r="N84" s="197">
        <f t="shared" si="35"/>
        <v>0</v>
      </c>
      <c r="O84" s="197">
        <f t="shared" si="35"/>
        <v>0</v>
      </c>
      <c r="P84" s="197">
        <f t="shared" si="35"/>
        <v>0</v>
      </c>
      <c r="Q84" s="197">
        <f t="shared" si="35"/>
        <v>0</v>
      </c>
      <c r="R84" s="197">
        <f t="shared" si="35"/>
        <v>0</v>
      </c>
      <c r="S84" s="197">
        <f t="shared" si="35"/>
        <v>0</v>
      </c>
      <c r="T84" s="197">
        <f t="shared" si="35"/>
        <v>0</v>
      </c>
      <c r="U84" s="197">
        <f t="shared" si="35"/>
        <v>0</v>
      </c>
      <c r="V84" s="197">
        <f t="shared" si="35"/>
        <v>0</v>
      </c>
      <c r="W84" s="197">
        <f t="shared" si="35"/>
        <v>0</v>
      </c>
      <c r="X84" s="197">
        <f t="shared" si="35"/>
        <v>0</v>
      </c>
      <c r="Y84" s="197">
        <f t="shared" si="35"/>
        <v>0</v>
      </c>
      <c r="Z84" s="197">
        <f t="shared" si="35"/>
        <v>1180000</v>
      </c>
      <c r="AA84" s="197">
        <f t="shared" si="35"/>
        <v>1180000</v>
      </c>
      <c r="AB84" s="197">
        <f t="shared" si="35"/>
        <v>1180000</v>
      </c>
      <c r="AC84" s="197">
        <f t="shared" si="35"/>
        <v>1180000</v>
      </c>
      <c r="AD84" s="197">
        <f t="shared" si="35"/>
        <v>1180000</v>
      </c>
      <c r="AE84" s="197">
        <f t="shared" si="35"/>
        <v>1180000</v>
      </c>
      <c r="AF84" s="197">
        <f t="shared" si="35"/>
        <v>1180000</v>
      </c>
      <c r="AG84" s="197">
        <f t="shared" si="35"/>
        <v>1180000</v>
      </c>
      <c r="AH84" s="197">
        <f t="shared" si="35"/>
        <v>1180000</v>
      </c>
      <c r="AI84" s="197">
        <f t="shared" si="35"/>
        <v>1180000</v>
      </c>
      <c r="AJ84" s="197">
        <f t="shared" si="35"/>
        <v>1180000</v>
      </c>
      <c r="AK84" s="197">
        <f t="shared" si="35"/>
        <v>1180000</v>
      </c>
      <c r="AL84" s="197">
        <f t="shared" si="35"/>
        <v>1180000</v>
      </c>
      <c r="AM84" s="197">
        <f t="shared" si="35"/>
        <v>1180000</v>
      </c>
      <c r="AN84" s="197">
        <f t="shared" si="35"/>
        <v>1180000</v>
      </c>
      <c r="AO84" s="197">
        <f t="shared" si="35"/>
        <v>1180000</v>
      </c>
      <c r="AP84" s="197">
        <f t="shared" si="35"/>
        <v>1180000</v>
      </c>
      <c r="AQ84" s="197">
        <f t="shared" si="35"/>
        <v>1180000</v>
      </c>
      <c r="AR84" s="197">
        <f t="shared" si="35"/>
        <v>1180000</v>
      </c>
      <c r="AS84" s="197">
        <f t="shared" si="35"/>
        <v>1180000</v>
      </c>
      <c r="AT84" s="197">
        <f t="shared" si="35"/>
        <v>1180000</v>
      </c>
      <c r="AU84" s="197">
        <f t="shared" si="35"/>
        <v>1180000</v>
      </c>
      <c r="AV84" s="197">
        <f t="shared" si="35"/>
        <v>1180000</v>
      </c>
      <c r="AW84" s="197">
        <f t="shared" si="35"/>
        <v>1180000</v>
      </c>
      <c r="AX84" s="197">
        <f t="shared" si="35"/>
        <v>1180000</v>
      </c>
      <c r="AY84" s="197">
        <f t="shared" si="35"/>
        <v>1180000</v>
      </c>
      <c r="AZ84" s="197">
        <f t="shared" si="35"/>
        <v>1180000</v>
      </c>
      <c r="BA84" s="197">
        <f t="shared" si="35"/>
        <v>1180000</v>
      </c>
      <c r="BB84" s="197">
        <f t="shared" si="35"/>
        <v>1180000</v>
      </c>
      <c r="BC84" s="197">
        <f t="shared" si="35"/>
        <v>1180000</v>
      </c>
      <c r="BD84" s="197">
        <f t="shared" si="35"/>
        <v>1180000</v>
      </c>
      <c r="BE84" s="197">
        <f t="shared" si="35"/>
        <v>22212320</v>
      </c>
      <c r="BF84" s="197">
        <f t="shared" si="35"/>
        <v>0</v>
      </c>
      <c r="BG84" s="197">
        <f t="shared" si="35"/>
        <v>0</v>
      </c>
      <c r="BH84" s="197">
        <f t="shared" si="35"/>
        <v>0</v>
      </c>
      <c r="BI84" s="197">
        <f t="shared" si="35"/>
        <v>0</v>
      </c>
      <c r="BJ84" s="197">
        <f t="shared" si="35"/>
        <v>0</v>
      </c>
      <c r="BK84" s="197">
        <f t="shared" si="35"/>
        <v>0</v>
      </c>
      <c r="BL84" s="198">
        <f t="shared" si="32"/>
        <v>58792320</v>
      </c>
      <c r="BM84" s="8">
        <v>0</v>
      </c>
      <c r="BN84" s="8">
        <f>+BM84/1.18</f>
        <v>0</v>
      </c>
    </row>
    <row r="85" spans="2:69" ht="15.75" customHeight="1" x14ac:dyDescent="0.3">
      <c r="X85" s="207" t="s">
        <v>157</v>
      </c>
      <c r="BM85" s="6"/>
    </row>
    <row r="86" spans="2:69" ht="15.75" customHeight="1" x14ac:dyDescent="0.3">
      <c r="B86" s="196" t="s">
        <v>50</v>
      </c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96"/>
      <c r="AC86" s="196"/>
      <c r="AD86" s="196"/>
      <c r="AE86" s="196"/>
      <c r="AF86" s="196"/>
      <c r="AG86" s="196"/>
      <c r="AH86" s="196"/>
      <c r="AI86" s="196"/>
      <c r="AJ86" s="196"/>
      <c r="AK86" s="196"/>
      <c r="AL86" s="196"/>
      <c r="AM86" s="196"/>
      <c r="AN86" s="196"/>
      <c r="AO86" s="196"/>
      <c r="AP86" s="196"/>
      <c r="AQ86" s="196"/>
      <c r="AR86" s="196"/>
      <c r="AS86" s="196"/>
      <c r="AT86" s="196"/>
      <c r="AU86" s="196"/>
      <c r="AV86" s="196"/>
      <c r="AW86" s="196"/>
      <c r="AX86" s="196"/>
      <c r="AY86" s="196"/>
      <c r="AZ86" s="196"/>
      <c r="BA86" s="196"/>
      <c r="BB86" s="196"/>
      <c r="BC86" s="196"/>
      <c r="BD86" s="196"/>
      <c r="BE86" s="196"/>
      <c r="BF86" s="196"/>
      <c r="BG86" s="196"/>
      <c r="BH86" s="196"/>
      <c r="BI86" s="196"/>
      <c r="BJ86" s="196"/>
      <c r="BK86" s="196"/>
      <c r="BM86" s="6"/>
    </row>
    <row r="87" spans="2:69" ht="15.75" customHeight="1" outlineLevel="1" x14ac:dyDescent="0.3">
      <c r="B87" s="3" t="s">
        <v>158</v>
      </c>
      <c r="C87" s="208"/>
      <c r="D87" s="208"/>
      <c r="E87" s="208"/>
      <c r="F87" s="6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59">
        <v>4000000</v>
      </c>
      <c r="W87" s="208"/>
      <c r="X87" s="59"/>
      <c r="Y87" s="208"/>
      <c r="Z87" s="208"/>
      <c r="AA87" s="208"/>
      <c r="AB87" s="208"/>
      <c r="AC87" s="208"/>
      <c r="AD87" s="208"/>
      <c r="AE87" s="208"/>
      <c r="AF87" s="208"/>
      <c r="AG87" s="208"/>
      <c r="AH87" s="208"/>
      <c r="AI87" s="208"/>
      <c r="AJ87" s="208"/>
      <c r="AK87" s="208"/>
      <c r="AL87" s="208"/>
      <c r="AM87" s="208"/>
      <c r="AN87" s="208"/>
      <c r="AO87" s="208"/>
      <c r="AP87" s="208"/>
      <c r="AQ87" s="208"/>
      <c r="AR87" s="208"/>
      <c r="AS87" s="208"/>
      <c r="AT87" s="208"/>
      <c r="AU87" s="208"/>
      <c r="AV87" s="208"/>
      <c r="AW87" s="208"/>
      <c r="AX87" s="208"/>
      <c r="AY87" s="208"/>
      <c r="AZ87" s="208"/>
      <c r="BA87" s="208"/>
      <c r="BB87" s="208"/>
      <c r="BC87" s="208"/>
      <c r="BD87" s="208"/>
      <c r="BE87" s="208"/>
      <c r="BF87" s="208"/>
      <c r="BG87" s="208"/>
      <c r="BH87" s="208"/>
      <c r="BI87" s="208"/>
      <c r="BJ87" s="208"/>
      <c r="BK87" s="208"/>
      <c r="BM87" s="6"/>
    </row>
    <row r="88" spans="2:69" ht="15.75" customHeight="1" outlineLevel="1" x14ac:dyDescent="0.3">
      <c r="B88" s="3" t="s">
        <v>159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4325000</v>
      </c>
      <c r="AC88" s="6">
        <v>1297500</v>
      </c>
      <c r="AD88" s="6">
        <v>1297500</v>
      </c>
      <c r="AE88" s="6">
        <v>1297500</v>
      </c>
      <c r="AF88" s="6">
        <v>432500</v>
      </c>
      <c r="AG88" s="6">
        <v>0</v>
      </c>
      <c r="AH88" s="6">
        <v>4325000</v>
      </c>
      <c r="AI88" s="6">
        <v>1730000</v>
      </c>
      <c r="AJ88" s="6">
        <v>1730000</v>
      </c>
      <c r="AK88" s="6">
        <v>2100714.2857142854</v>
      </c>
      <c r="AL88" s="6">
        <v>1235714.2857142857</v>
      </c>
      <c r="AM88" s="6">
        <v>1235714.2857142857</v>
      </c>
      <c r="AN88" s="6">
        <v>1235714.2857142857</v>
      </c>
      <c r="AO88" s="6">
        <v>1235714.2857142857</v>
      </c>
      <c r="AP88" s="6">
        <v>1235714.2857142857</v>
      </c>
      <c r="AQ88" s="6">
        <v>8631464.2857142854</v>
      </c>
      <c r="AR88" s="6">
        <v>3676250</v>
      </c>
      <c r="AS88" s="6">
        <v>3676250</v>
      </c>
      <c r="AT88" s="6">
        <v>1686750</v>
      </c>
      <c r="AU88" s="6">
        <v>1081250</v>
      </c>
      <c r="AV88" s="6">
        <v>8260750</v>
      </c>
      <c r="AW88" s="6">
        <v>2551750</v>
      </c>
      <c r="AX88" s="6">
        <v>4541250</v>
      </c>
      <c r="AY88" s="6">
        <v>3460000</v>
      </c>
      <c r="AZ88" s="6">
        <v>1730000</v>
      </c>
      <c r="BA88" s="6">
        <v>1730000</v>
      </c>
      <c r="BB88" s="6">
        <v>1730000</v>
      </c>
      <c r="BC88" s="6">
        <v>1730000</v>
      </c>
      <c r="BD88" s="6">
        <v>1730000</v>
      </c>
      <c r="BE88" s="6">
        <v>2018333.3333333333</v>
      </c>
      <c r="BF88" s="6">
        <v>2018333.3333333333</v>
      </c>
      <c r="BG88" s="6">
        <v>2018333.3333333333</v>
      </c>
      <c r="BH88" s="6">
        <v>2018333.3333333333</v>
      </c>
      <c r="BI88" s="6">
        <v>2018333.3333333333</v>
      </c>
      <c r="BJ88" s="6">
        <v>2018333.3333333333</v>
      </c>
      <c r="BK88" s="6">
        <v>0</v>
      </c>
      <c r="BL88" s="6">
        <f t="shared" ref="BL88:BL90" si="36">SUM(C88:BK88)</f>
        <v>83039999.99999997</v>
      </c>
      <c r="BM88" s="6"/>
    </row>
    <row r="89" spans="2:69" ht="15.75" customHeight="1" outlineLevel="1" x14ac:dyDescent="0.3">
      <c r="B89" s="3" t="s">
        <v>41</v>
      </c>
      <c r="C89" s="6">
        <f t="shared" ref="C89:AU89" si="37">+SUM(C88)*18%</f>
        <v>0</v>
      </c>
      <c r="D89" s="6">
        <f t="shared" si="37"/>
        <v>0</v>
      </c>
      <c r="E89" s="6">
        <f t="shared" si="37"/>
        <v>0</v>
      </c>
      <c r="F89" s="6">
        <f t="shared" si="37"/>
        <v>0</v>
      </c>
      <c r="G89" s="6">
        <f t="shared" si="37"/>
        <v>0</v>
      </c>
      <c r="H89" s="6">
        <f t="shared" si="37"/>
        <v>0</v>
      </c>
      <c r="I89" s="6">
        <f t="shared" si="37"/>
        <v>0</v>
      </c>
      <c r="J89" s="6">
        <f t="shared" si="37"/>
        <v>0</v>
      </c>
      <c r="K89" s="6">
        <f t="shared" si="37"/>
        <v>0</v>
      </c>
      <c r="L89" s="6">
        <f t="shared" si="37"/>
        <v>0</v>
      </c>
      <c r="M89" s="6">
        <f t="shared" si="37"/>
        <v>0</v>
      </c>
      <c r="N89" s="6">
        <f t="shared" si="37"/>
        <v>0</v>
      </c>
      <c r="O89" s="6">
        <f t="shared" si="37"/>
        <v>0</v>
      </c>
      <c r="P89" s="6">
        <f t="shared" si="37"/>
        <v>0</v>
      </c>
      <c r="Q89" s="6">
        <f t="shared" si="37"/>
        <v>0</v>
      </c>
      <c r="R89" s="6">
        <f t="shared" si="37"/>
        <v>0</v>
      </c>
      <c r="S89" s="6">
        <f t="shared" si="37"/>
        <v>0</v>
      </c>
      <c r="T89" s="6">
        <f t="shared" si="37"/>
        <v>0</v>
      </c>
      <c r="U89" s="6">
        <f t="shared" si="37"/>
        <v>0</v>
      </c>
      <c r="V89" s="6">
        <f t="shared" si="37"/>
        <v>0</v>
      </c>
      <c r="W89" s="6">
        <f t="shared" si="37"/>
        <v>0</v>
      </c>
      <c r="X89" s="6">
        <f t="shared" si="37"/>
        <v>0</v>
      </c>
      <c r="Y89" s="6">
        <f t="shared" si="37"/>
        <v>0</v>
      </c>
      <c r="Z89" s="6">
        <f t="shared" si="37"/>
        <v>0</v>
      </c>
      <c r="AA89" s="6">
        <f t="shared" si="37"/>
        <v>0</v>
      </c>
      <c r="AB89" s="6">
        <f t="shared" si="37"/>
        <v>778500</v>
      </c>
      <c r="AC89" s="6">
        <f t="shared" si="37"/>
        <v>233550</v>
      </c>
      <c r="AD89" s="6">
        <f t="shared" si="37"/>
        <v>233550</v>
      </c>
      <c r="AE89" s="6">
        <f t="shared" si="37"/>
        <v>233550</v>
      </c>
      <c r="AF89" s="6">
        <f t="shared" si="37"/>
        <v>77850</v>
      </c>
      <c r="AG89" s="6">
        <f t="shared" si="37"/>
        <v>0</v>
      </c>
      <c r="AH89" s="6">
        <f t="shared" si="37"/>
        <v>778500</v>
      </c>
      <c r="AI89" s="6">
        <f t="shared" si="37"/>
        <v>311400</v>
      </c>
      <c r="AJ89" s="6">
        <f t="shared" si="37"/>
        <v>311400</v>
      </c>
      <c r="AK89" s="6">
        <f t="shared" si="37"/>
        <v>378128.57142857136</v>
      </c>
      <c r="AL89" s="6">
        <f t="shared" si="37"/>
        <v>222428.57142857142</v>
      </c>
      <c r="AM89" s="6">
        <f t="shared" si="37"/>
        <v>222428.57142857142</v>
      </c>
      <c r="AN89" s="6">
        <f t="shared" si="37"/>
        <v>222428.57142857142</v>
      </c>
      <c r="AO89" s="6">
        <f t="shared" si="37"/>
        <v>222428.57142857142</v>
      </c>
      <c r="AP89" s="6">
        <f t="shared" si="37"/>
        <v>222428.57142857142</v>
      </c>
      <c r="AQ89" s="6">
        <f t="shared" si="37"/>
        <v>1553663.5714285714</v>
      </c>
      <c r="AR89" s="6">
        <f t="shared" si="37"/>
        <v>661725</v>
      </c>
      <c r="AS89" s="6">
        <f t="shared" si="37"/>
        <v>661725</v>
      </c>
      <c r="AT89" s="6">
        <f t="shared" si="37"/>
        <v>303615</v>
      </c>
      <c r="AU89" s="6">
        <f t="shared" si="37"/>
        <v>194625</v>
      </c>
      <c r="AV89" s="6">
        <f t="shared" ref="AV89:AX89" si="38">+SUM(AV88)*18%</f>
        <v>1486935</v>
      </c>
      <c r="AW89" s="6">
        <f t="shared" si="38"/>
        <v>459315</v>
      </c>
      <c r="AX89" s="6">
        <f t="shared" si="38"/>
        <v>817425</v>
      </c>
      <c r="AY89" s="6">
        <f t="shared" ref="AY89:BK89" si="39">+SUM(AY88)*18%</f>
        <v>622800</v>
      </c>
      <c r="AZ89" s="6">
        <f t="shared" si="39"/>
        <v>311400</v>
      </c>
      <c r="BA89" s="6">
        <f t="shared" si="39"/>
        <v>311400</v>
      </c>
      <c r="BB89" s="6">
        <f t="shared" si="39"/>
        <v>311400</v>
      </c>
      <c r="BC89" s="6">
        <f t="shared" si="39"/>
        <v>311400</v>
      </c>
      <c r="BD89" s="6">
        <f t="shared" si="39"/>
        <v>311400</v>
      </c>
      <c r="BE89" s="6">
        <f t="shared" si="39"/>
        <v>363300</v>
      </c>
      <c r="BF89" s="6">
        <f t="shared" si="39"/>
        <v>363300</v>
      </c>
      <c r="BG89" s="6">
        <f t="shared" si="39"/>
        <v>363300</v>
      </c>
      <c r="BH89" s="6">
        <f t="shared" si="39"/>
        <v>363300</v>
      </c>
      <c r="BI89" s="6">
        <f t="shared" si="39"/>
        <v>363300</v>
      </c>
      <c r="BJ89" s="6">
        <f t="shared" si="39"/>
        <v>363300</v>
      </c>
      <c r="BK89" s="6">
        <f t="shared" si="39"/>
        <v>0</v>
      </c>
      <c r="BL89" s="6">
        <f t="shared" si="36"/>
        <v>14947200</v>
      </c>
      <c r="BM89" s="6"/>
    </row>
    <row r="90" spans="2:69" ht="15.75" customHeight="1" x14ac:dyDescent="0.3">
      <c r="B90" s="197" t="s">
        <v>18</v>
      </c>
      <c r="C90" s="197">
        <f t="shared" ref="C90:BK90" si="40">SUM(C87:C89)</f>
        <v>0</v>
      </c>
      <c r="D90" s="197">
        <f t="shared" si="40"/>
        <v>0</v>
      </c>
      <c r="E90" s="197">
        <f t="shared" si="40"/>
        <v>0</v>
      </c>
      <c r="F90" s="197">
        <f t="shared" si="40"/>
        <v>0</v>
      </c>
      <c r="G90" s="197">
        <f t="shared" si="40"/>
        <v>0</v>
      </c>
      <c r="H90" s="197">
        <f t="shared" si="40"/>
        <v>0</v>
      </c>
      <c r="I90" s="197">
        <f t="shared" si="40"/>
        <v>0</v>
      </c>
      <c r="J90" s="197">
        <f t="shared" si="40"/>
        <v>0</v>
      </c>
      <c r="K90" s="197">
        <f t="shared" si="40"/>
        <v>0</v>
      </c>
      <c r="L90" s="197">
        <f t="shared" si="40"/>
        <v>0</v>
      </c>
      <c r="M90" s="197">
        <f t="shared" si="40"/>
        <v>0</v>
      </c>
      <c r="N90" s="197">
        <f t="shared" si="40"/>
        <v>0</v>
      </c>
      <c r="O90" s="197">
        <f t="shared" si="40"/>
        <v>0</v>
      </c>
      <c r="P90" s="197">
        <f t="shared" si="40"/>
        <v>0</v>
      </c>
      <c r="Q90" s="197">
        <f t="shared" si="40"/>
        <v>0</v>
      </c>
      <c r="R90" s="197">
        <f t="shared" si="40"/>
        <v>0</v>
      </c>
      <c r="S90" s="197">
        <f t="shared" si="40"/>
        <v>0</v>
      </c>
      <c r="T90" s="197">
        <f t="shared" si="40"/>
        <v>0</v>
      </c>
      <c r="U90" s="197">
        <f t="shared" si="40"/>
        <v>0</v>
      </c>
      <c r="V90" s="197">
        <f t="shared" si="40"/>
        <v>4000000</v>
      </c>
      <c r="W90" s="197">
        <f t="shared" si="40"/>
        <v>0</v>
      </c>
      <c r="X90" s="197">
        <f t="shared" si="40"/>
        <v>0</v>
      </c>
      <c r="Y90" s="197">
        <f t="shared" si="40"/>
        <v>0</v>
      </c>
      <c r="Z90" s="197">
        <f t="shared" si="40"/>
        <v>0</v>
      </c>
      <c r="AA90" s="197">
        <f t="shared" si="40"/>
        <v>0</v>
      </c>
      <c r="AB90" s="197">
        <f t="shared" si="40"/>
        <v>5103500</v>
      </c>
      <c r="AC90" s="197">
        <f t="shared" si="40"/>
        <v>1531050</v>
      </c>
      <c r="AD90" s="197">
        <f t="shared" si="40"/>
        <v>1531050</v>
      </c>
      <c r="AE90" s="197">
        <f t="shared" si="40"/>
        <v>1531050</v>
      </c>
      <c r="AF90" s="197">
        <f t="shared" si="40"/>
        <v>510350</v>
      </c>
      <c r="AG90" s="197">
        <f t="shared" si="40"/>
        <v>0</v>
      </c>
      <c r="AH90" s="197">
        <f t="shared" si="40"/>
        <v>5103500</v>
      </c>
      <c r="AI90" s="197">
        <f t="shared" si="40"/>
        <v>2041400</v>
      </c>
      <c r="AJ90" s="197">
        <f t="shared" si="40"/>
        <v>2041400</v>
      </c>
      <c r="AK90" s="197">
        <f t="shared" si="40"/>
        <v>2478842.8571428568</v>
      </c>
      <c r="AL90" s="197">
        <f t="shared" si="40"/>
        <v>1458142.857142857</v>
      </c>
      <c r="AM90" s="197">
        <f t="shared" si="40"/>
        <v>1458142.857142857</v>
      </c>
      <c r="AN90" s="197">
        <f t="shared" si="40"/>
        <v>1458142.857142857</v>
      </c>
      <c r="AO90" s="197">
        <f t="shared" si="40"/>
        <v>1458142.857142857</v>
      </c>
      <c r="AP90" s="197">
        <f t="shared" si="40"/>
        <v>1458142.857142857</v>
      </c>
      <c r="AQ90" s="197">
        <f t="shared" si="40"/>
        <v>10185127.857142856</v>
      </c>
      <c r="AR90" s="197">
        <f t="shared" si="40"/>
        <v>4337975</v>
      </c>
      <c r="AS90" s="197">
        <f t="shared" si="40"/>
        <v>4337975</v>
      </c>
      <c r="AT90" s="197">
        <f t="shared" si="40"/>
        <v>1990365</v>
      </c>
      <c r="AU90" s="197">
        <f t="shared" si="40"/>
        <v>1275875</v>
      </c>
      <c r="AV90" s="197">
        <f t="shared" si="40"/>
        <v>9747685</v>
      </c>
      <c r="AW90" s="197">
        <f t="shared" si="40"/>
        <v>3011065</v>
      </c>
      <c r="AX90" s="197">
        <f t="shared" si="40"/>
        <v>5358675</v>
      </c>
      <c r="AY90" s="197">
        <f t="shared" si="40"/>
        <v>4082800</v>
      </c>
      <c r="AZ90" s="197">
        <f t="shared" si="40"/>
        <v>2041400</v>
      </c>
      <c r="BA90" s="197">
        <f t="shared" si="40"/>
        <v>2041400</v>
      </c>
      <c r="BB90" s="197">
        <f t="shared" si="40"/>
        <v>2041400</v>
      </c>
      <c r="BC90" s="197">
        <f t="shared" si="40"/>
        <v>2041400</v>
      </c>
      <c r="BD90" s="197">
        <f t="shared" si="40"/>
        <v>2041400</v>
      </c>
      <c r="BE90" s="197">
        <f t="shared" si="40"/>
        <v>2381633.333333333</v>
      </c>
      <c r="BF90" s="197">
        <f t="shared" si="40"/>
        <v>2381633.333333333</v>
      </c>
      <c r="BG90" s="197">
        <f t="shared" si="40"/>
        <v>2381633.333333333</v>
      </c>
      <c r="BH90" s="197">
        <f t="shared" si="40"/>
        <v>2381633.333333333</v>
      </c>
      <c r="BI90" s="197">
        <f t="shared" si="40"/>
        <v>2381633.333333333</v>
      </c>
      <c r="BJ90" s="197">
        <f t="shared" si="40"/>
        <v>2381633.333333333</v>
      </c>
      <c r="BK90" s="197">
        <f t="shared" si="40"/>
        <v>0</v>
      </c>
      <c r="BL90" s="198">
        <f t="shared" si="36"/>
        <v>101987199.99999997</v>
      </c>
      <c r="BM90" s="8">
        <v>0</v>
      </c>
      <c r="BN90" s="8">
        <f>+BM90/1.18</f>
        <v>0</v>
      </c>
    </row>
    <row r="91" spans="2:69" ht="15.75" customHeight="1" x14ac:dyDescent="0.3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</row>
    <row r="92" spans="2:69" ht="15.75" customHeight="1" x14ac:dyDescent="0.3">
      <c r="B92" s="193" t="s">
        <v>52</v>
      </c>
      <c r="C92" s="193">
        <f t="shared" ref="C92:BK92" si="41">+C90+C84+C72+C61+C46+C28+C78</f>
        <v>1561793</v>
      </c>
      <c r="D92" s="193">
        <f t="shared" si="41"/>
        <v>1300000</v>
      </c>
      <c r="E92" s="193">
        <f t="shared" si="41"/>
        <v>40000</v>
      </c>
      <c r="F92" s="193">
        <f t="shared" si="41"/>
        <v>2500000</v>
      </c>
      <c r="G92" s="193">
        <f t="shared" si="41"/>
        <v>0</v>
      </c>
      <c r="H92" s="193">
        <f t="shared" si="41"/>
        <v>40816.33</v>
      </c>
      <c r="I92" s="193">
        <f t="shared" si="41"/>
        <v>42000</v>
      </c>
      <c r="J92" s="193">
        <f t="shared" si="41"/>
        <v>400000</v>
      </c>
      <c r="K92" s="193">
        <f t="shared" si="41"/>
        <v>0</v>
      </c>
      <c r="L92" s="193">
        <f t="shared" si="41"/>
        <v>2500000</v>
      </c>
      <c r="M92" s="193">
        <f t="shared" si="41"/>
        <v>251952</v>
      </c>
      <c r="N92" s="193">
        <f t="shared" si="41"/>
        <v>665975.27</v>
      </c>
      <c r="O92" s="193">
        <f t="shared" si="41"/>
        <v>25000</v>
      </c>
      <c r="P92" s="193">
        <f t="shared" si="41"/>
        <v>485000</v>
      </c>
      <c r="Q92" s="193">
        <f t="shared" si="41"/>
        <v>350000</v>
      </c>
      <c r="R92" s="193">
        <f t="shared" si="41"/>
        <v>105000</v>
      </c>
      <c r="S92" s="193">
        <f t="shared" si="41"/>
        <v>0</v>
      </c>
      <c r="T92" s="193">
        <f t="shared" si="41"/>
        <v>0</v>
      </c>
      <c r="U92" s="193">
        <f t="shared" si="41"/>
        <v>0</v>
      </c>
      <c r="V92" s="193">
        <f t="shared" si="41"/>
        <v>4000000</v>
      </c>
      <c r="W92" s="193">
        <f t="shared" si="41"/>
        <v>0</v>
      </c>
      <c r="X92" s="193">
        <f t="shared" si="41"/>
        <v>78485483.073888987</v>
      </c>
      <c r="Y92" s="193">
        <f t="shared" si="41"/>
        <v>4941780.0137842959</v>
      </c>
      <c r="Z92" s="193">
        <f t="shared" si="41"/>
        <v>9307256.104623301</v>
      </c>
      <c r="AA92" s="193">
        <f t="shared" si="41"/>
        <v>8827101.1400528159</v>
      </c>
      <c r="AB92" s="193">
        <f t="shared" si="41"/>
        <v>24672139.980384298</v>
      </c>
      <c r="AC92" s="193">
        <f t="shared" si="41"/>
        <v>24707018.52026812</v>
      </c>
      <c r="AD92" s="193">
        <f t="shared" si="41"/>
        <v>30255416.00439655</v>
      </c>
      <c r="AE92" s="193">
        <f t="shared" si="41"/>
        <v>39919973.255835667</v>
      </c>
      <c r="AF92" s="193">
        <f t="shared" si="41"/>
        <v>52869982.30692032</v>
      </c>
      <c r="AG92" s="193">
        <f t="shared" si="41"/>
        <v>56717994.257778481</v>
      </c>
      <c r="AH92" s="193">
        <f t="shared" si="41"/>
        <v>54964695.016512431</v>
      </c>
      <c r="AI92" s="193">
        <f t="shared" si="41"/>
        <v>55881170.89660842</v>
      </c>
      <c r="AJ92" s="193">
        <f t="shared" si="41"/>
        <v>86546682.304971859</v>
      </c>
      <c r="AK92" s="193">
        <f t="shared" si="41"/>
        <v>86955366.060740307</v>
      </c>
      <c r="AL92" s="193">
        <f t="shared" si="41"/>
        <v>80238770.890356719</v>
      </c>
      <c r="AM92" s="193">
        <f t="shared" si="41"/>
        <v>88384911.997669294</v>
      </c>
      <c r="AN92" s="193">
        <f t="shared" si="41"/>
        <v>99648101.35398218</v>
      </c>
      <c r="AO92" s="193">
        <f t="shared" si="41"/>
        <v>93023833.967577517</v>
      </c>
      <c r="AP92" s="193">
        <f t="shared" si="41"/>
        <v>83702907.400426447</v>
      </c>
      <c r="AQ92" s="193">
        <f t="shared" si="41"/>
        <v>95592411.716769487</v>
      </c>
      <c r="AR92" s="193">
        <f t="shared" si="41"/>
        <v>82220888.595834464</v>
      </c>
      <c r="AS92" s="193">
        <f t="shared" si="41"/>
        <v>72989226.799641028</v>
      </c>
      <c r="AT92" s="193">
        <f t="shared" si="41"/>
        <v>61785549.992776319</v>
      </c>
      <c r="AU92" s="193">
        <f t="shared" si="41"/>
        <v>75681667.074538559</v>
      </c>
      <c r="AV92" s="193">
        <f t="shared" si="41"/>
        <v>24717084.308522683</v>
      </c>
      <c r="AW92" s="193">
        <f t="shared" si="41"/>
        <v>36996014.977611683</v>
      </c>
      <c r="AX92" s="193">
        <f t="shared" si="41"/>
        <v>39002958.696611688</v>
      </c>
      <c r="AY92" s="193">
        <f t="shared" si="41"/>
        <v>37386417.415611684</v>
      </c>
      <c r="AZ92" s="193">
        <f t="shared" si="41"/>
        <v>35004351.134611689</v>
      </c>
      <c r="BA92" s="193">
        <f t="shared" si="41"/>
        <v>34663684.853611685</v>
      </c>
      <c r="BB92" s="193">
        <f t="shared" si="41"/>
        <v>34323018.572611682</v>
      </c>
      <c r="BC92" s="193">
        <f t="shared" si="41"/>
        <v>33982352.291611686</v>
      </c>
      <c r="BD92" s="193">
        <f t="shared" si="41"/>
        <v>33641686.010611683</v>
      </c>
      <c r="BE92" s="193">
        <f t="shared" si="41"/>
        <v>54673573.062945023</v>
      </c>
      <c r="BF92" s="193">
        <f t="shared" si="41"/>
        <v>32120586.78194502</v>
      </c>
      <c r="BG92" s="193">
        <f t="shared" si="41"/>
        <v>31779920.50094502</v>
      </c>
      <c r="BH92" s="193">
        <f t="shared" si="41"/>
        <v>45065905.459945016</v>
      </c>
      <c r="BI92" s="193">
        <f t="shared" si="41"/>
        <v>44554906.038445018</v>
      </c>
      <c r="BJ92" s="193">
        <f t="shared" si="41"/>
        <v>2381633.3333333312</v>
      </c>
      <c r="BK92" s="193">
        <f t="shared" si="41"/>
        <v>0</v>
      </c>
      <c r="BL92" s="8"/>
      <c r="BM92" s="8"/>
      <c r="BN92" s="8"/>
      <c r="BO92" s="161"/>
      <c r="BQ92" s="161"/>
    </row>
    <row r="93" spans="2:69" ht="15.75" customHeight="1" x14ac:dyDescent="0.3">
      <c r="B93" s="193" t="s">
        <v>142</v>
      </c>
      <c r="C93" s="193">
        <f>+C92</f>
        <v>1561793</v>
      </c>
      <c r="D93" s="193">
        <f t="shared" ref="D93:BK93" si="42">+C93+D92</f>
        <v>2861793</v>
      </c>
      <c r="E93" s="193">
        <f t="shared" si="42"/>
        <v>2901793</v>
      </c>
      <c r="F93" s="193">
        <f t="shared" si="42"/>
        <v>5401793</v>
      </c>
      <c r="G93" s="193">
        <f t="shared" si="42"/>
        <v>5401793</v>
      </c>
      <c r="H93" s="193">
        <f t="shared" si="42"/>
        <v>5442609.3300000001</v>
      </c>
      <c r="I93" s="193">
        <f t="shared" si="42"/>
        <v>5484609.3300000001</v>
      </c>
      <c r="J93" s="193">
        <f t="shared" si="42"/>
        <v>5884609.3300000001</v>
      </c>
      <c r="K93" s="193">
        <f t="shared" si="42"/>
        <v>5884609.3300000001</v>
      </c>
      <c r="L93" s="193">
        <f t="shared" si="42"/>
        <v>8384609.3300000001</v>
      </c>
      <c r="M93" s="193">
        <f t="shared" si="42"/>
        <v>8636561.3300000001</v>
      </c>
      <c r="N93" s="193">
        <f t="shared" si="42"/>
        <v>9302536.5999999996</v>
      </c>
      <c r="O93" s="193">
        <f t="shared" si="42"/>
        <v>9327536.5999999996</v>
      </c>
      <c r="P93" s="193">
        <f t="shared" si="42"/>
        <v>9812536.5999999996</v>
      </c>
      <c r="Q93" s="193">
        <f t="shared" si="42"/>
        <v>10162536.6</v>
      </c>
      <c r="R93" s="193">
        <f t="shared" si="42"/>
        <v>10267536.6</v>
      </c>
      <c r="S93" s="193">
        <f t="shared" si="42"/>
        <v>10267536.6</v>
      </c>
      <c r="T93" s="193">
        <f t="shared" si="42"/>
        <v>10267536.6</v>
      </c>
      <c r="U93" s="193">
        <f t="shared" si="42"/>
        <v>10267536.6</v>
      </c>
      <c r="V93" s="193">
        <f t="shared" si="42"/>
        <v>14267536.6</v>
      </c>
      <c r="W93" s="193">
        <f t="shared" si="42"/>
        <v>14267536.6</v>
      </c>
      <c r="X93" s="193">
        <f t="shared" si="42"/>
        <v>92753019.673888981</v>
      </c>
      <c r="Y93" s="193">
        <f t="shared" si="42"/>
        <v>97694799.687673271</v>
      </c>
      <c r="Z93" s="193">
        <f t="shared" si="42"/>
        <v>107002055.79229657</v>
      </c>
      <c r="AA93" s="193">
        <f t="shared" si="42"/>
        <v>115829156.93234938</v>
      </c>
      <c r="AB93" s="193">
        <f t="shared" si="42"/>
        <v>140501296.91273367</v>
      </c>
      <c r="AC93" s="193">
        <f t="shared" si="42"/>
        <v>165208315.43300179</v>
      </c>
      <c r="AD93" s="193">
        <f t="shared" si="42"/>
        <v>195463731.43739834</v>
      </c>
      <c r="AE93" s="193">
        <f t="shared" si="42"/>
        <v>235383704.69323403</v>
      </c>
      <c r="AF93" s="193">
        <f t="shared" si="42"/>
        <v>288253687.00015438</v>
      </c>
      <c r="AG93" s="193">
        <f t="shared" si="42"/>
        <v>344971681.25793284</v>
      </c>
      <c r="AH93" s="193">
        <f t="shared" si="42"/>
        <v>399936376.2744453</v>
      </c>
      <c r="AI93" s="193">
        <f t="shared" si="42"/>
        <v>455817547.17105371</v>
      </c>
      <c r="AJ93" s="193">
        <f t="shared" si="42"/>
        <v>542364229.47602558</v>
      </c>
      <c r="AK93" s="193">
        <f t="shared" si="42"/>
        <v>629319595.53676593</v>
      </c>
      <c r="AL93" s="193">
        <f t="shared" si="42"/>
        <v>709558366.42712259</v>
      </c>
      <c r="AM93" s="193">
        <f t="shared" si="42"/>
        <v>797943278.42479193</v>
      </c>
      <c r="AN93" s="193">
        <f t="shared" si="42"/>
        <v>897591379.77877414</v>
      </c>
      <c r="AO93" s="193">
        <f t="shared" si="42"/>
        <v>990615213.74635172</v>
      </c>
      <c r="AP93" s="193">
        <f t="shared" si="42"/>
        <v>1074318121.1467781</v>
      </c>
      <c r="AQ93" s="193">
        <f t="shared" si="42"/>
        <v>1169910532.8635476</v>
      </c>
      <c r="AR93" s="193">
        <f t="shared" si="42"/>
        <v>1252131421.4593821</v>
      </c>
      <c r="AS93" s="193">
        <f t="shared" si="42"/>
        <v>1325120648.2590232</v>
      </c>
      <c r="AT93" s="193">
        <f t="shared" si="42"/>
        <v>1386906198.2517996</v>
      </c>
      <c r="AU93" s="193">
        <f t="shared" si="42"/>
        <v>1462587865.3263381</v>
      </c>
      <c r="AV93" s="193">
        <f t="shared" si="42"/>
        <v>1487304949.6348608</v>
      </c>
      <c r="AW93" s="193">
        <f t="shared" si="42"/>
        <v>1524300964.6124725</v>
      </c>
      <c r="AX93" s="193">
        <f t="shared" si="42"/>
        <v>1563303923.3090842</v>
      </c>
      <c r="AY93" s="193">
        <f t="shared" si="42"/>
        <v>1600690340.7246959</v>
      </c>
      <c r="AZ93" s="193">
        <f t="shared" si="42"/>
        <v>1635694691.8593075</v>
      </c>
      <c r="BA93" s="193">
        <f t="shared" si="42"/>
        <v>1670358376.7129192</v>
      </c>
      <c r="BB93" s="193">
        <f t="shared" si="42"/>
        <v>1704681395.2855308</v>
      </c>
      <c r="BC93" s="193">
        <f t="shared" si="42"/>
        <v>1738663747.5771425</v>
      </c>
      <c r="BD93" s="193">
        <f t="shared" si="42"/>
        <v>1772305433.5877542</v>
      </c>
      <c r="BE93" s="193">
        <f t="shared" si="42"/>
        <v>1826979006.6506994</v>
      </c>
      <c r="BF93" s="193">
        <f t="shared" si="42"/>
        <v>1859099593.4326444</v>
      </c>
      <c r="BG93" s="193">
        <f t="shared" si="42"/>
        <v>1890879513.9335895</v>
      </c>
      <c r="BH93" s="193">
        <f t="shared" si="42"/>
        <v>1935945419.3935344</v>
      </c>
      <c r="BI93" s="193">
        <f t="shared" si="42"/>
        <v>1980500325.4319794</v>
      </c>
      <c r="BJ93" s="193">
        <f t="shared" si="42"/>
        <v>1982881958.7653127</v>
      </c>
      <c r="BK93" s="193">
        <f t="shared" si="42"/>
        <v>1982881958.7653127</v>
      </c>
      <c r="BL93" s="8"/>
      <c r="BM93" s="8"/>
      <c r="BN93" s="8"/>
      <c r="BO93" s="161"/>
      <c r="BQ93" s="161"/>
    </row>
    <row r="94" spans="2:69" ht="15.75" customHeight="1" x14ac:dyDescent="0.3">
      <c r="BL94" s="6"/>
      <c r="BM94" s="3"/>
      <c r="BO94" s="161"/>
      <c r="BQ94" s="161"/>
    </row>
    <row r="95" spans="2:69" ht="15.75" customHeight="1" x14ac:dyDescent="0.3">
      <c r="B95" s="209" t="s">
        <v>160</v>
      </c>
      <c r="C95" s="209">
        <f t="shared" ref="C95:BK95" si="43">+C18-C92</f>
        <v>-1561793</v>
      </c>
      <c r="D95" s="209">
        <f t="shared" si="43"/>
        <v>-1300000</v>
      </c>
      <c r="E95" s="209">
        <f t="shared" si="43"/>
        <v>-40000</v>
      </c>
      <c r="F95" s="209">
        <f t="shared" si="43"/>
        <v>-2500000</v>
      </c>
      <c r="G95" s="209">
        <f t="shared" si="43"/>
        <v>0</v>
      </c>
      <c r="H95" s="209">
        <f t="shared" si="43"/>
        <v>-40816.33</v>
      </c>
      <c r="I95" s="209">
        <f t="shared" si="43"/>
        <v>-42000</v>
      </c>
      <c r="J95" s="209">
        <f t="shared" si="43"/>
        <v>-400000</v>
      </c>
      <c r="K95" s="209">
        <f t="shared" si="43"/>
        <v>0</v>
      </c>
      <c r="L95" s="209">
        <f t="shared" si="43"/>
        <v>-2500000</v>
      </c>
      <c r="M95" s="209">
        <f t="shared" si="43"/>
        <v>-251952</v>
      </c>
      <c r="N95" s="209">
        <f t="shared" si="43"/>
        <v>-665975.27</v>
      </c>
      <c r="O95" s="209">
        <f t="shared" si="43"/>
        <v>-25000</v>
      </c>
      <c r="P95" s="209">
        <f t="shared" si="43"/>
        <v>-485000</v>
      </c>
      <c r="Q95" s="209">
        <f t="shared" si="43"/>
        <v>-350000</v>
      </c>
      <c r="R95" s="209">
        <f t="shared" si="43"/>
        <v>-105000</v>
      </c>
      <c r="S95" s="209">
        <f t="shared" si="43"/>
        <v>0</v>
      </c>
      <c r="T95" s="209">
        <f t="shared" si="43"/>
        <v>0</v>
      </c>
      <c r="U95" s="209">
        <f t="shared" si="43"/>
        <v>0</v>
      </c>
      <c r="V95" s="209">
        <f t="shared" si="43"/>
        <v>-4000000</v>
      </c>
      <c r="W95" s="209">
        <f t="shared" si="43"/>
        <v>0</v>
      </c>
      <c r="X95" s="209">
        <f t="shared" si="43"/>
        <v>-78485483.073888987</v>
      </c>
      <c r="Y95" s="210">
        <f t="shared" si="43"/>
        <v>-4941780.0137842959</v>
      </c>
      <c r="Z95" s="210">
        <f t="shared" si="43"/>
        <v>-9307256.104623301</v>
      </c>
      <c r="AA95" s="210">
        <f t="shared" si="43"/>
        <v>-8827101.1400528159</v>
      </c>
      <c r="AB95" s="210">
        <f t="shared" si="43"/>
        <v>-24672139.980384298</v>
      </c>
      <c r="AC95" s="209">
        <f t="shared" si="43"/>
        <v>-17240256.615506217</v>
      </c>
      <c r="AD95" s="209">
        <f t="shared" si="43"/>
        <v>-28146070.766301312</v>
      </c>
      <c r="AE95" s="209">
        <f t="shared" si="43"/>
        <v>44395547.307182327</v>
      </c>
      <c r="AF95" s="209">
        <f t="shared" si="43"/>
        <v>-16146880.545462564</v>
      </c>
      <c r="AG95" s="209">
        <f t="shared" si="43"/>
        <v>-17606295.595591433</v>
      </c>
      <c r="AH95" s="209">
        <f t="shared" si="43"/>
        <v>-18738196.494989946</v>
      </c>
      <c r="AI95" s="209">
        <f t="shared" si="43"/>
        <v>-17364799.830635913</v>
      </c>
      <c r="AJ95" s="209">
        <f t="shared" si="43"/>
        <v>7709811.9569563717</v>
      </c>
      <c r="AK95" s="209">
        <f t="shared" si="43"/>
        <v>5683010.1451669782</v>
      </c>
      <c r="AL95" s="209">
        <f t="shared" si="43"/>
        <v>8250828.1666155308</v>
      </c>
      <c r="AM95" s="209">
        <f t="shared" si="43"/>
        <v>4537313.174289152</v>
      </c>
      <c r="AN95" s="209">
        <f t="shared" si="43"/>
        <v>-194585.63736876845</v>
      </c>
      <c r="AO95" s="209">
        <f t="shared" si="43"/>
        <v>2927582.7637735158</v>
      </c>
      <c r="AP95" s="209">
        <f t="shared" si="43"/>
        <v>6209799.1185401678</v>
      </c>
      <c r="AQ95" s="209">
        <f t="shared" si="43"/>
        <v>-3008206.5863115788</v>
      </c>
      <c r="AR95" s="209">
        <f t="shared" si="43"/>
        <v>5516347.720026657</v>
      </c>
      <c r="AS95" s="209">
        <f t="shared" si="43"/>
        <v>8774049.481070146</v>
      </c>
      <c r="AT95" s="209">
        <f t="shared" si="43"/>
        <v>14369436.145622581</v>
      </c>
      <c r="AU95" s="209">
        <f t="shared" si="43"/>
        <v>-8202562.6786678433</v>
      </c>
      <c r="AV95" s="209">
        <f t="shared" si="43"/>
        <v>35757442.712322295</v>
      </c>
      <c r="AW95" s="209">
        <f t="shared" si="43"/>
        <v>50478127.879531182</v>
      </c>
      <c r="AX95" s="209">
        <f t="shared" si="43"/>
        <v>31344791.303388312</v>
      </c>
      <c r="AY95" s="209">
        <f t="shared" si="43"/>
        <v>32172732.584388316</v>
      </c>
      <c r="AZ95" s="209">
        <f t="shared" si="43"/>
        <v>33451898.865388311</v>
      </c>
      <c r="BA95" s="209">
        <f t="shared" si="43"/>
        <v>32511315.146388315</v>
      </c>
      <c r="BB95" s="209">
        <f t="shared" si="43"/>
        <v>31416981.427388318</v>
      </c>
      <c r="BC95" s="209">
        <f t="shared" si="43"/>
        <v>31757647.708388314</v>
      </c>
      <c r="BD95" s="209">
        <f t="shared" si="43"/>
        <v>32098313.989388317</v>
      </c>
      <c r="BE95" s="209">
        <f t="shared" si="43"/>
        <v>11066426.937054977</v>
      </c>
      <c r="BF95" s="209">
        <f t="shared" si="43"/>
        <v>33619413.21805498</v>
      </c>
      <c r="BG95" s="209">
        <f t="shared" si="43"/>
        <v>33960079.499054983</v>
      </c>
      <c r="BH95" s="209">
        <f t="shared" si="43"/>
        <v>53544094.540054984</v>
      </c>
      <c r="BI95" s="209">
        <f t="shared" si="43"/>
        <v>54055093.961554982</v>
      </c>
      <c r="BJ95" s="209">
        <f t="shared" si="43"/>
        <v>-2381633.3333333312</v>
      </c>
      <c r="BK95" s="209">
        <f t="shared" si="43"/>
        <v>0</v>
      </c>
      <c r="BL95" s="6"/>
      <c r="BM95" s="6"/>
      <c r="BN95" s="6"/>
      <c r="BO95" s="143"/>
      <c r="BP95" s="6"/>
      <c r="BQ95" s="161"/>
    </row>
    <row r="96" spans="2:69" ht="15.75" customHeight="1" x14ac:dyDescent="0.3">
      <c r="B96" s="209" t="s">
        <v>142</v>
      </c>
      <c r="C96" s="209">
        <f>+C95</f>
        <v>-1561793</v>
      </c>
      <c r="D96" s="209">
        <f t="shared" ref="D96:BK96" si="44">+C96+D95</f>
        <v>-2861793</v>
      </c>
      <c r="E96" s="209">
        <f t="shared" si="44"/>
        <v>-2901793</v>
      </c>
      <c r="F96" s="209">
        <f t="shared" si="44"/>
        <v>-5401793</v>
      </c>
      <c r="G96" s="209">
        <f t="shared" si="44"/>
        <v>-5401793</v>
      </c>
      <c r="H96" s="209">
        <f t="shared" si="44"/>
        <v>-5442609.3300000001</v>
      </c>
      <c r="I96" s="209">
        <f t="shared" si="44"/>
        <v>-5484609.3300000001</v>
      </c>
      <c r="J96" s="209">
        <f t="shared" si="44"/>
        <v>-5884609.3300000001</v>
      </c>
      <c r="K96" s="209">
        <f t="shared" si="44"/>
        <v>-5884609.3300000001</v>
      </c>
      <c r="L96" s="209">
        <f t="shared" si="44"/>
        <v>-8384609.3300000001</v>
      </c>
      <c r="M96" s="209">
        <f t="shared" si="44"/>
        <v>-8636561.3300000001</v>
      </c>
      <c r="N96" s="209">
        <f t="shared" si="44"/>
        <v>-9302536.5999999996</v>
      </c>
      <c r="O96" s="209">
        <f t="shared" si="44"/>
        <v>-9327536.5999999996</v>
      </c>
      <c r="P96" s="209">
        <f t="shared" si="44"/>
        <v>-9812536.5999999996</v>
      </c>
      <c r="Q96" s="209">
        <f t="shared" si="44"/>
        <v>-10162536.6</v>
      </c>
      <c r="R96" s="209">
        <f t="shared" si="44"/>
        <v>-10267536.6</v>
      </c>
      <c r="S96" s="209">
        <f t="shared" si="44"/>
        <v>-10267536.6</v>
      </c>
      <c r="T96" s="209">
        <f t="shared" si="44"/>
        <v>-10267536.6</v>
      </c>
      <c r="U96" s="209">
        <f t="shared" si="44"/>
        <v>-10267536.6</v>
      </c>
      <c r="V96" s="209">
        <f t="shared" si="44"/>
        <v>-14267536.6</v>
      </c>
      <c r="W96" s="209">
        <f t="shared" si="44"/>
        <v>-14267536.6</v>
      </c>
      <c r="X96" s="209">
        <f t="shared" si="44"/>
        <v>-92753019.673888981</v>
      </c>
      <c r="Y96" s="210">
        <f t="shared" si="44"/>
        <v>-97694799.687673271</v>
      </c>
      <c r="Z96" s="210">
        <f t="shared" si="44"/>
        <v>-107002055.79229657</v>
      </c>
      <c r="AA96" s="210">
        <f t="shared" si="44"/>
        <v>-115829156.93234938</v>
      </c>
      <c r="AB96" s="210">
        <f t="shared" si="44"/>
        <v>-140501296.91273367</v>
      </c>
      <c r="AC96" s="209">
        <f t="shared" si="44"/>
        <v>-157741553.52823991</v>
      </c>
      <c r="AD96" s="209">
        <f t="shared" si="44"/>
        <v>-185887624.29454121</v>
      </c>
      <c r="AE96" s="209">
        <f t="shared" si="44"/>
        <v>-141492076.98735887</v>
      </c>
      <c r="AF96" s="209">
        <f t="shared" si="44"/>
        <v>-157638957.53282142</v>
      </c>
      <c r="AG96" s="209">
        <f t="shared" si="44"/>
        <v>-175245253.12841284</v>
      </c>
      <c r="AH96" s="209">
        <f t="shared" si="44"/>
        <v>-193983449.62340277</v>
      </c>
      <c r="AI96" s="209">
        <f t="shared" si="44"/>
        <v>-211348249.45403868</v>
      </c>
      <c r="AJ96" s="209">
        <f t="shared" si="44"/>
        <v>-203638437.49708229</v>
      </c>
      <c r="AK96" s="209">
        <f t="shared" si="44"/>
        <v>-197955427.3519153</v>
      </c>
      <c r="AL96" s="209">
        <f t="shared" si="44"/>
        <v>-189704599.18529975</v>
      </c>
      <c r="AM96" s="209">
        <f t="shared" si="44"/>
        <v>-185167286.01101059</v>
      </c>
      <c r="AN96" s="209">
        <f t="shared" si="44"/>
        <v>-185361871.64837936</v>
      </c>
      <c r="AO96" s="209">
        <f t="shared" si="44"/>
        <v>-182434288.88460582</v>
      </c>
      <c r="AP96" s="209">
        <f t="shared" si="44"/>
        <v>-176224489.76606566</v>
      </c>
      <c r="AQ96" s="209">
        <f t="shared" si="44"/>
        <v>-179232696.35237724</v>
      </c>
      <c r="AR96" s="209">
        <f t="shared" si="44"/>
        <v>-173716348.63235056</v>
      </c>
      <c r="AS96" s="209">
        <f t="shared" si="44"/>
        <v>-164942299.1512804</v>
      </c>
      <c r="AT96" s="209">
        <f t="shared" si="44"/>
        <v>-150572863.00565782</v>
      </c>
      <c r="AU96" s="209">
        <f t="shared" si="44"/>
        <v>-158775425.68432567</v>
      </c>
      <c r="AV96" s="209">
        <f t="shared" si="44"/>
        <v>-123017982.97200337</v>
      </c>
      <c r="AW96" s="209">
        <f t="shared" si="44"/>
        <v>-72539855.092472196</v>
      </c>
      <c r="AX96" s="209">
        <f t="shared" si="44"/>
        <v>-41195063.789083883</v>
      </c>
      <c r="AY96" s="209">
        <f t="shared" si="44"/>
        <v>-9022331.2046955675</v>
      </c>
      <c r="AZ96" s="209">
        <f t="shared" si="44"/>
        <v>24429567.660692744</v>
      </c>
      <c r="BA96" s="209">
        <f t="shared" si="44"/>
        <v>56940882.807081059</v>
      </c>
      <c r="BB96" s="209">
        <f t="shared" si="44"/>
        <v>88357864.234469384</v>
      </c>
      <c r="BC96" s="209">
        <f t="shared" si="44"/>
        <v>120115511.9428577</v>
      </c>
      <c r="BD96" s="209">
        <f t="shared" si="44"/>
        <v>152213825.93224603</v>
      </c>
      <c r="BE96" s="209">
        <f t="shared" si="44"/>
        <v>163280252.86930102</v>
      </c>
      <c r="BF96" s="209">
        <f t="shared" si="44"/>
        <v>196899666.087356</v>
      </c>
      <c r="BG96" s="209">
        <f t="shared" si="44"/>
        <v>230859745.586411</v>
      </c>
      <c r="BH96" s="209">
        <f t="shared" si="44"/>
        <v>284403840.12646598</v>
      </c>
      <c r="BI96" s="209">
        <f t="shared" si="44"/>
        <v>338458934.08802098</v>
      </c>
      <c r="BJ96" s="209">
        <f t="shared" si="44"/>
        <v>336077300.75468767</v>
      </c>
      <c r="BK96" s="209">
        <f t="shared" si="44"/>
        <v>336077300.75468767</v>
      </c>
      <c r="BL96" s="6"/>
      <c r="BM96" s="6">
        <f>+BK96-'EV INTERES SOCIAL'!I89</f>
        <v>5.9604644775390625E-7</v>
      </c>
      <c r="BN96" s="6"/>
      <c r="BO96" s="143"/>
      <c r="BP96" s="6"/>
    </row>
    <row r="97" spans="1:83" ht="15.75" customHeight="1" x14ac:dyDescent="0.3">
      <c r="B97" s="211" t="s">
        <v>161</v>
      </c>
      <c r="C97" s="212">
        <f>+MIN(C96:M96)</f>
        <v>-8636561.3300000001</v>
      </c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>
        <f>238000000*8%</f>
        <v>19040000</v>
      </c>
      <c r="V97" s="213">
        <f>+U97+C98</f>
        <v>-192308249.45403868</v>
      </c>
      <c r="W97" s="213"/>
      <c r="X97" s="213"/>
      <c r="Y97" s="213"/>
      <c r="Z97" s="213"/>
      <c r="AA97" s="213"/>
      <c r="AB97" s="213"/>
      <c r="AC97" s="213">
        <f>+AC96/62</f>
        <v>-2544218.6052941922</v>
      </c>
      <c r="AD97" s="213">
        <f t="shared" ref="AD97:AI97" si="45">+AD96/62</f>
        <v>-2998187.4886216326</v>
      </c>
      <c r="AE97" s="213">
        <f t="shared" si="45"/>
        <v>-2282130.2739896593</v>
      </c>
      <c r="AF97" s="213">
        <f t="shared" si="45"/>
        <v>-2542563.8311745389</v>
      </c>
      <c r="AG97" s="213">
        <f t="shared" si="45"/>
        <v>-2826536.3407808524</v>
      </c>
      <c r="AH97" s="213">
        <f t="shared" si="45"/>
        <v>-3128765.3165064962</v>
      </c>
      <c r="AI97" s="213">
        <f t="shared" si="45"/>
        <v>-3408842.7331296559</v>
      </c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  <c r="BC97" s="213"/>
      <c r="BD97" s="213"/>
      <c r="BE97" s="213"/>
      <c r="BF97" s="213"/>
      <c r="BG97" s="213"/>
      <c r="BH97" s="213"/>
      <c r="BI97" s="213"/>
      <c r="BJ97" s="213"/>
      <c r="BK97" s="213"/>
      <c r="BL97" s="6"/>
      <c r="BM97" s="6"/>
      <c r="BN97" s="6"/>
      <c r="BO97" s="143"/>
      <c r="BP97" s="6"/>
    </row>
    <row r="98" spans="1:83" ht="15.75" customHeight="1" x14ac:dyDescent="0.3">
      <c r="B98" s="211" t="s">
        <v>162</v>
      </c>
      <c r="C98" s="212">
        <f>+MIN(C96:BK96)</f>
        <v>-211348249.45403868</v>
      </c>
      <c r="D98" s="6">
        <v>-3408842.7331296559</v>
      </c>
      <c r="E98" s="6"/>
      <c r="F98" s="3"/>
      <c r="G98" s="6"/>
      <c r="H98" s="6"/>
      <c r="J98" s="6"/>
      <c r="L98" s="6"/>
      <c r="N98" s="161"/>
      <c r="S98" s="161"/>
      <c r="T98" s="161"/>
      <c r="U98" s="6"/>
      <c r="BL98" s="6"/>
      <c r="BO98" s="161"/>
    </row>
    <row r="99" spans="1:83" ht="15.75" customHeight="1" x14ac:dyDescent="0.3">
      <c r="D99" s="6"/>
      <c r="E99" s="6"/>
      <c r="F99" s="3"/>
      <c r="G99" s="6"/>
      <c r="H99" s="6"/>
      <c r="S99" s="6"/>
      <c r="T99" s="194">
        <f>120000000+T104</f>
        <v>120000000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O99" s="161"/>
    </row>
    <row r="100" spans="1:83" ht="15.75" customHeight="1" x14ac:dyDescent="0.3">
      <c r="A100" s="10"/>
      <c r="B100" s="214" t="s">
        <v>163</v>
      </c>
      <c r="C100" s="215"/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6"/>
      <c r="O100" s="215"/>
      <c r="P100" s="215"/>
      <c r="Q100" s="215"/>
      <c r="R100" s="215"/>
      <c r="S100" s="215"/>
      <c r="T100" s="215"/>
      <c r="U100" s="215"/>
      <c r="V100" s="216"/>
      <c r="W100" s="215"/>
      <c r="X100" s="215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215"/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5"/>
      <c r="AU100" s="215"/>
      <c r="AV100" s="215"/>
      <c r="AW100" s="215"/>
      <c r="AX100" s="215"/>
      <c r="AY100" s="215"/>
      <c r="AZ100" s="215"/>
      <c r="BA100" s="215"/>
      <c r="BB100" s="215"/>
      <c r="BC100" s="215"/>
      <c r="BD100" s="215"/>
      <c r="BE100" s="215"/>
      <c r="BF100" s="215"/>
      <c r="BG100" s="215"/>
      <c r="BH100" s="215"/>
      <c r="BI100" s="215"/>
      <c r="BJ100" s="215"/>
      <c r="BK100" s="215"/>
      <c r="BL100" s="15"/>
      <c r="BM100" s="10"/>
      <c r="BN100" s="10"/>
      <c r="BO100" s="158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</row>
    <row r="101" spans="1:83" ht="15.75" customHeight="1" x14ac:dyDescent="0.3">
      <c r="A101" s="10"/>
      <c r="B101" s="7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>
        <f t="shared" ref="BL101" si="46">SUM(C101:BK101)</f>
        <v>0</v>
      </c>
      <c r="BM101" s="15"/>
      <c r="BN101" s="15"/>
      <c r="BO101" s="15"/>
      <c r="BP101" s="15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</row>
    <row r="102" spans="1:83" ht="15.75" customHeight="1" x14ac:dyDescent="0.3">
      <c r="A102" s="10"/>
      <c r="B102" s="7" t="s">
        <v>73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>
        <v>-150000000</v>
      </c>
      <c r="Y102" s="15">
        <v>-20000000</v>
      </c>
      <c r="Z102" s="15">
        <v>-25000000</v>
      </c>
      <c r="AA102" s="15">
        <v>-25000000</v>
      </c>
      <c r="AB102" s="15">
        <v>-20000000</v>
      </c>
      <c r="AC102" s="15">
        <v>-20000000</v>
      </c>
      <c r="AD102" s="15"/>
      <c r="AE102" s="15"/>
      <c r="AF102" s="15"/>
      <c r="AG102" s="15"/>
      <c r="AH102" s="15">
        <v>-35000000</v>
      </c>
      <c r="AI102" s="15">
        <v>-35000000</v>
      </c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>
        <v>50000000</v>
      </c>
      <c r="AW102" s="15">
        <f>+AV102</f>
        <v>50000000</v>
      </c>
      <c r="AX102" s="15">
        <f>+AW102</f>
        <v>50000000</v>
      </c>
      <c r="AY102" s="15">
        <f>+AX102</f>
        <v>50000000</v>
      </c>
      <c r="AZ102" s="15">
        <f>+AY102</f>
        <v>50000000</v>
      </c>
      <c r="BA102" s="15">
        <v>80000000</v>
      </c>
      <c r="BB102" s="15"/>
      <c r="BC102" s="15"/>
      <c r="BD102" s="15"/>
      <c r="BE102" s="15"/>
      <c r="BF102" s="15"/>
      <c r="BG102" s="15"/>
      <c r="BH102" s="15"/>
      <c r="BI102" s="15"/>
      <c r="BJ102" s="15">
        <v>134575245.339609</v>
      </c>
      <c r="BK102" s="15"/>
      <c r="BL102" s="15">
        <f>SUM(C102:BK102)</f>
        <v>134575245.339609</v>
      </c>
      <c r="BM102" s="15"/>
      <c r="BN102" s="15"/>
      <c r="BO102" s="15"/>
      <c r="BP102" s="15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</row>
    <row r="103" spans="1:83" ht="15.75" customHeight="1" x14ac:dyDescent="0.3">
      <c r="A103" s="10"/>
      <c r="B103" s="217" t="s">
        <v>18</v>
      </c>
      <c r="C103" s="217">
        <f t="shared" ref="C103:K103" si="47">+SUM(C101:C102)</f>
        <v>0</v>
      </c>
      <c r="D103" s="217">
        <f t="shared" si="47"/>
        <v>0</v>
      </c>
      <c r="E103" s="217">
        <f t="shared" si="47"/>
        <v>0</v>
      </c>
      <c r="F103" s="217">
        <f t="shared" si="47"/>
        <v>0</v>
      </c>
      <c r="G103" s="217">
        <f t="shared" si="47"/>
        <v>0</v>
      </c>
      <c r="H103" s="217">
        <f t="shared" si="47"/>
        <v>0</v>
      </c>
      <c r="I103" s="217">
        <f t="shared" si="47"/>
        <v>0</v>
      </c>
      <c r="J103" s="217">
        <f t="shared" si="47"/>
        <v>0</v>
      </c>
      <c r="K103" s="217">
        <f t="shared" si="47"/>
        <v>0</v>
      </c>
      <c r="L103" s="217">
        <f>+SUM(L101:L102)</f>
        <v>0</v>
      </c>
      <c r="M103" s="217">
        <f t="shared" ref="M103:BK103" si="48">+SUM(M101:M102)</f>
        <v>0</v>
      </c>
      <c r="N103" s="217">
        <f t="shared" si="48"/>
        <v>0</v>
      </c>
      <c r="O103" s="217">
        <f t="shared" si="48"/>
        <v>0</v>
      </c>
      <c r="P103" s="217">
        <f t="shared" si="48"/>
        <v>0</v>
      </c>
      <c r="Q103" s="217">
        <f t="shared" si="48"/>
        <v>0</v>
      </c>
      <c r="R103" s="217">
        <f t="shared" si="48"/>
        <v>0</v>
      </c>
      <c r="S103" s="217">
        <f t="shared" si="48"/>
        <v>0</v>
      </c>
      <c r="T103" s="217">
        <f t="shared" si="48"/>
        <v>0</v>
      </c>
      <c r="U103" s="217">
        <f t="shared" si="48"/>
        <v>0</v>
      </c>
      <c r="V103" s="217">
        <f t="shared" si="48"/>
        <v>0</v>
      </c>
      <c r="W103" s="217">
        <f t="shared" si="48"/>
        <v>0</v>
      </c>
      <c r="X103" s="217">
        <f t="shared" si="48"/>
        <v>-150000000</v>
      </c>
      <c r="Y103" s="217">
        <f t="shared" si="48"/>
        <v>-20000000</v>
      </c>
      <c r="Z103" s="217">
        <f t="shared" si="48"/>
        <v>-25000000</v>
      </c>
      <c r="AA103" s="217">
        <f t="shared" si="48"/>
        <v>-25000000</v>
      </c>
      <c r="AB103" s="217">
        <f t="shared" si="48"/>
        <v>-20000000</v>
      </c>
      <c r="AC103" s="217">
        <f t="shared" si="48"/>
        <v>-20000000</v>
      </c>
      <c r="AD103" s="217">
        <f t="shared" si="48"/>
        <v>0</v>
      </c>
      <c r="AE103" s="217">
        <f t="shared" si="48"/>
        <v>0</v>
      </c>
      <c r="AF103" s="217">
        <f t="shared" si="48"/>
        <v>0</v>
      </c>
      <c r="AG103" s="217">
        <f t="shared" si="48"/>
        <v>0</v>
      </c>
      <c r="AH103" s="217">
        <f t="shared" si="48"/>
        <v>-35000000</v>
      </c>
      <c r="AI103" s="217">
        <f t="shared" si="48"/>
        <v>-35000000</v>
      </c>
      <c r="AJ103" s="217">
        <f t="shared" si="48"/>
        <v>0</v>
      </c>
      <c r="AK103" s="217">
        <f t="shared" si="48"/>
        <v>0</v>
      </c>
      <c r="AL103" s="217">
        <f t="shared" si="48"/>
        <v>0</v>
      </c>
      <c r="AM103" s="217">
        <f t="shared" si="48"/>
        <v>0</v>
      </c>
      <c r="AN103" s="217">
        <f t="shared" si="48"/>
        <v>0</v>
      </c>
      <c r="AO103" s="217">
        <f t="shared" si="48"/>
        <v>0</v>
      </c>
      <c r="AP103" s="217">
        <f t="shared" si="48"/>
        <v>0</v>
      </c>
      <c r="AQ103" s="217">
        <f t="shared" si="48"/>
        <v>0</v>
      </c>
      <c r="AR103" s="217">
        <f t="shared" si="48"/>
        <v>0</v>
      </c>
      <c r="AS103" s="217">
        <f t="shared" si="48"/>
        <v>0</v>
      </c>
      <c r="AT103" s="217">
        <f t="shared" si="48"/>
        <v>0</v>
      </c>
      <c r="AU103" s="217">
        <f t="shared" si="48"/>
        <v>0</v>
      </c>
      <c r="AV103" s="217">
        <f t="shared" si="48"/>
        <v>50000000</v>
      </c>
      <c r="AW103" s="217">
        <f t="shared" si="48"/>
        <v>50000000</v>
      </c>
      <c r="AX103" s="217">
        <f t="shared" si="48"/>
        <v>50000000</v>
      </c>
      <c r="AY103" s="217">
        <f t="shared" si="48"/>
        <v>50000000</v>
      </c>
      <c r="AZ103" s="217">
        <f t="shared" si="48"/>
        <v>50000000</v>
      </c>
      <c r="BA103" s="217">
        <f t="shared" si="48"/>
        <v>80000000</v>
      </c>
      <c r="BB103" s="217">
        <f t="shared" si="48"/>
        <v>0</v>
      </c>
      <c r="BC103" s="217">
        <f t="shared" si="48"/>
        <v>0</v>
      </c>
      <c r="BD103" s="217">
        <f t="shared" si="48"/>
        <v>0</v>
      </c>
      <c r="BE103" s="217">
        <f t="shared" si="48"/>
        <v>0</v>
      </c>
      <c r="BF103" s="217">
        <f t="shared" si="48"/>
        <v>0</v>
      </c>
      <c r="BG103" s="217">
        <f t="shared" si="48"/>
        <v>0</v>
      </c>
      <c r="BH103" s="217">
        <f t="shared" si="48"/>
        <v>0</v>
      </c>
      <c r="BI103" s="217">
        <f t="shared" si="48"/>
        <v>0</v>
      </c>
      <c r="BJ103" s="217">
        <f t="shared" si="48"/>
        <v>134575245.339609</v>
      </c>
      <c r="BK103" s="217">
        <f t="shared" si="48"/>
        <v>0</v>
      </c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</row>
    <row r="104" spans="1:83" ht="15.75" customHeight="1" x14ac:dyDescent="0.3">
      <c r="A104" s="10"/>
      <c r="B104" s="217" t="s">
        <v>142</v>
      </c>
      <c r="C104" s="217">
        <f>+C103</f>
        <v>0</v>
      </c>
      <c r="D104" s="217">
        <f t="shared" ref="D104:BK104" si="49">+C104+D103</f>
        <v>0</v>
      </c>
      <c r="E104" s="217">
        <f t="shared" si="49"/>
        <v>0</v>
      </c>
      <c r="F104" s="217">
        <f t="shared" si="49"/>
        <v>0</v>
      </c>
      <c r="G104" s="217">
        <f t="shared" si="49"/>
        <v>0</v>
      </c>
      <c r="H104" s="217">
        <f t="shared" si="49"/>
        <v>0</v>
      </c>
      <c r="I104" s="217">
        <f t="shared" si="49"/>
        <v>0</v>
      </c>
      <c r="J104" s="217">
        <f t="shared" si="49"/>
        <v>0</v>
      </c>
      <c r="K104" s="217">
        <f t="shared" si="49"/>
        <v>0</v>
      </c>
      <c r="L104" s="217">
        <f t="shared" si="49"/>
        <v>0</v>
      </c>
      <c r="M104" s="217">
        <f t="shared" si="49"/>
        <v>0</v>
      </c>
      <c r="N104" s="217">
        <f t="shared" si="49"/>
        <v>0</v>
      </c>
      <c r="O104" s="217">
        <f t="shared" si="49"/>
        <v>0</v>
      </c>
      <c r="P104" s="217">
        <f t="shared" si="49"/>
        <v>0</v>
      </c>
      <c r="Q104" s="217">
        <f t="shared" si="49"/>
        <v>0</v>
      </c>
      <c r="R104" s="217">
        <f t="shared" si="49"/>
        <v>0</v>
      </c>
      <c r="S104" s="217">
        <f t="shared" si="49"/>
        <v>0</v>
      </c>
      <c r="T104" s="217">
        <f t="shared" si="49"/>
        <v>0</v>
      </c>
      <c r="U104" s="217">
        <f t="shared" si="49"/>
        <v>0</v>
      </c>
      <c r="V104" s="217">
        <f t="shared" si="49"/>
        <v>0</v>
      </c>
      <c r="W104" s="217">
        <f t="shared" si="49"/>
        <v>0</v>
      </c>
      <c r="X104" s="217">
        <f t="shared" si="49"/>
        <v>-150000000</v>
      </c>
      <c r="Y104" s="217">
        <f t="shared" si="49"/>
        <v>-170000000</v>
      </c>
      <c r="Z104" s="217">
        <f t="shared" si="49"/>
        <v>-195000000</v>
      </c>
      <c r="AA104" s="217">
        <f t="shared" si="49"/>
        <v>-220000000</v>
      </c>
      <c r="AB104" s="217">
        <f t="shared" si="49"/>
        <v>-240000000</v>
      </c>
      <c r="AC104" s="217">
        <f t="shared" si="49"/>
        <v>-260000000</v>
      </c>
      <c r="AD104" s="217">
        <f t="shared" si="49"/>
        <v>-260000000</v>
      </c>
      <c r="AE104" s="217">
        <f t="shared" si="49"/>
        <v>-260000000</v>
      </c>
      <c r="AF104" s="217">
        <f t="shared" si="49"/>
        <v>-260000000</v>
      </c>
      <c r="AG104" s="217">
        <f t="shared" si="49"/>
        <v>-260000000</v>
      </c>
      <c r="AH104" s="217">
        <f t="shared" si="49"/>
        <v>-295000000</v>
      </c>
      <c r="AI104" s="217">
        <f t="shared" si="49"/>
        <v>-330000000</v>
      </c>
      <c r="AJ104" s="217">
        <f t="shared" si="49"/>
        <v>-330000000</v>
      </c>
      <c r="AK104" s="217">
        <f t="shared" si="49"/>
        <v>-330000000</v>
      </c>
      <c r="AL104" s="217">
        <f t="shared" si="49"/>
        <v>-330000000</v>
      </c>
      <c r="AM104" s="217">
        <f t="shared" si="49"/>
        <v>-330000000</v>
      </c>
      <c r="AN104" s="217">
        <f t="shared" si="49"/>
        <v>-330000000</v>
      </c>
      <c r="AO104" s="217">
        <f t="shared" si="49"/>
        <v>-330000000</v>
      </c>
      <c r="AP104" s="217">
        <f t="shared" si="49"/>
        <v>-330000000</v>
      </c>
      <c r="AQ104" s="217">
        <f t="shared" si="49"/>
        <v>-330000000</v>
      </c>
      <c r="AR104" s="217">
        <f t="shared" si="49"/>
        <v>-330000000</v>
      </c>
      <c r="AS104" s="217">
        <f t="shared" si="49"/>
        <v>-330000000</v>
      </c>
      <c r="AT104" s="217">
        <f t="shared" si="49"/>
        <v>-330000000</v>
      </c>
      <c r="AU104" s="217">
        <f t="shared" si="49"/>
        <v>-330000000</v>
      </c>
      <c r="AV104" s="217">
        <f t="shared" si="49"/>
        <v>-280000000</v>
      </c>
      <c r="AW104" s="217">
        <f t="shared" si="49"/>
        <v>-230000000</v>
      </c>
      <c r="AX104" s="217">
        <f t="shared" si="49"/>
        <v>-180000000</v>
      </c>
      <c r="AY104" s="217">
        <f t="shared" si="49"/>
        <v>-130000000</v>
      </c>
      <c r="AZ104" s="217">
        <f t="shared" si="49"/>
        <v>-80000000</v>
      </c>
      <c r="BA104" s="217">
        <f t="shared" si="49"/>
        <v>0</v>
      </c>
      <c r="BB104" s="217">
        <f t="shared" si="49"/>
        <v>0</v>
      </c>
      <c r="BC104" s="217">
        <f t="shared" si="49"/>
        <v>0</v>
      </c>
      <c r="BD104" s="217">
        <f t="shared" si="49"/>
        <v>0</v>
      </c>
      <c r="BE104" s="217">
        <f t="shared" si="49"/>
        <v>0</v>
      </c>
      <c r="BF104" s="217">
        <f t="shared" si="49"/>
        <v>0</v>
      </c>
      <c r="BG104" s="217">
        <f t="shared" si="49"/>
        <v>0</v>
      </c>
      <c r="BH104" s="217">
        <f t="shared" si="49"/>
        <v>0</v>
      </c>
      <c r="BI104" s="217">
        <f t="shared" si="49"/>
        <v>0</v>
      </c>
      <c r="BJ104" s="217">
        <f t="shared" si="49"/>
        <v>134575245.339609</v>
      </c>
      <c r="BK104" s="217">
        <f t="shared" si="49"/>
        <v>134575245.339609</v>
      </c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</row>
    <row r="105" spans="1:83" ht="15.75" customHeight="1" x14ac:dyDescent="0.3">
      <c r="A105" s="60"/>
      <c r="B105" s="103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15">
        <f>SUM(C105:BJ105)</f>
        <v>0</v>
      </c>
      <c r="BM105" s="10"/>
      <c r="BN105" s="15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</row>
    <row r="106" spans="1:83" ht="15.75" customHeight="1" x14ac:dyDescent="0.3">
      <c r="C106" s="6"/>
      <c r="D106" s="6"/>
      <c r="E106" s="6"/>
      <c r="F106" s="6"/>
      <c r="G106" s="6"/>
      <c r="H106" s="6"/>
      <c r="Y106" s="194"/>
      <c r="BL106" s="6">
        <f>+-BL105</f>
        <v>0</v>
      </c>
      <c r="BM106" s="6"/>
      <c r="BN106" s="6"/>
      <c r="BO106" s="6"/>
    </row>
    <row r="107" spans="1:83" ht="15.75" customHeight="1" x14ac:dyDescent="0.3">
      <c r="B107" s="209" t="s">
        <v>164</v>
      </c>
      <c r="C107" s="209">
        <f t="shared" ref="C107:BK107" si="50">+-C103+C95+C105</f>
        <v>-1561793</v>
      </c>
      <c r="D107" s="209">
        <f t="shared" si="50"/>
        <v>-1300000</v>
      </c>
      <c r="E107" s="209">
        <f t="shared" si="50"/>
        <v>-40000</v>
      </c>
      <c r="F107" s="209">
        <f t="shared" si="50"/>
        <v>-2500000</v>
      </c>
      <c r="G107" s="209">
        <f t="shared" si="50"/>
        <v>0</v>
      </c>
      <c r="H107" s="209">
        <f t="shared" si="50"/>
        <v>-40816.33</v>
      </c>
      <c r="I107" s="209">
        <f t="shared" si="50"/>
        <v>-42000</v>
      </c>
      <c r="J107" s="209">
        <f t="shared" si="50"/>
        <v>-400000</v>
      </c>
      <c r="K107" s="209">
        <f t="shared" si="50"/>
        <v>0</v>
      </c>
      <c r="L107" s="209">
        <f t="shared" si="50"/>
        <v>-2500000</v>
      </c>
      <c r="M107" s="209">
        <f t="shared" si="50"/>
        <v>-251952</v>
      </c>
      <c r="N107" s="209">
        <f t="shared" si="50"/>
        <v>-665975.27</v>
      </c>
      <c r="O107" s="209">
        <f t="shared" si="50"/>
        <v>-25000</v>
      </c>
      <c r="P107" s="209">
        <f t="shared" si="50"/>
        <v>-485000</v>
      </c>
      <c r="Q107" s="209">
        <f t="shared" si="50"/>
        <v>-350000</v>
      </c>
      <c r="R107" s="209">
        <f t="shared" si="50"/>
        <v>-105000</v>
      </c>
      <c r="S107" s="209">
        <f t="shared" si="50"/>
        <v>0</v>
      </c>
      <c r="T107" s="209">
        <f t="shared" si="50"/>
        <v>0</v>
      </c>
      <c r="U107" s="209">
        <f t="shared" si="50"/>
        <v>0</v>
      </c>
      <c r="V107" s="209">
        <f t="shared" si="50"/>
        <v>-4000000</v>
      </c>
      <c r="W107" s="209">
        <f t="shared" si="50"/>
        <v>0</v>
      </c>
      <c r="X107" s="209">
        <f t="shared" si="50"/>
        <v>71514516.926111013</v>
      </c>
      <c r="Y107" s="209">
        <f t="shared" si="50"/>
        <v>15058219.986215703</v>
      </c>
      <c r="Z107" s="209">
        <f t="shared" si="50"/>
        <v>15692743.895376699</v>
      </c>
      <c r="AA107" s="209">
        <f t="shared" si="50"/>
        <v>16172898.859947184</v>
      </c>
      <c r="AB107" s="209">
        <f t="shared" si="50"/>
        <v>-4672139.9803842977</v>
      </c>
      <c r="AC107" s="209">
        <f t="shared" si="50"/>
        <v>2759743.3844937831</v>
      </c>
      <c r="AD107" s="209">
        <f t="shared" si="50"/>
        <v>-28146070.766301312</v>
      </c>
      <c r="AE107" s="209">
        <f t="shared" si="50"/>
        <v>44395547.307182327</v>
      </c>
      <c r="AF107" s="209">
        <f t="shared" si="50"/>
        <v>-16146880.545462564</v>
      </c>
      <c r="AG107" s="209">
        <f t="shared" si="50"/>
        <v>-17606295.595591433</v>
      </c>
      <c r="AH107" s="209">
        <f t="shared" si="50"/>
        <v>16261803.505010054</v>
      </c>
      <c r="AI107" s="209">
        <f t="shared" si="50"/>
        <v>17635200.169364087</v>
      </c>
      <c r="AJ107" s="209">
        <f t="shared" si="50"/>
        <v>7709811.9569563717</v>
      </c>
      <c r="AK107" s="209">
        <f t="shared" si="50"/>
        <v>5683010.1451669782</v>
      </c>
      <c r="AL107" s="209">
        <f t="shared" si="50"/>
        <v>8250828.1666155308</v>
      </c>
      <c r="AM107" s="209">
        <f t="shared" si="50"/>
        <v>4537313.174289152</v>
      </c>
      <c r="AN107" s="209">
        <f t="shared" si="50"/>
        <v>-194585.63736876845</v>
      </c>
      <c r="AO107" s="209">
        <f t="shared" si="50"/>
        <v>2927582.7637735158</v>
      </c>
      <c r="AP107" s="209">
        <f t="shared" si="50"/>
        <v>6209799.1185401678</v>
      </c>
      <c r="AQ107" s="209">
        <f t="shared" si="50"/>
        <v>-3008206.5863115788</v>
      </c>
      <c r="AR107" s="209">
        <f t="shared" si="50"/>
        <v>5516347.720026657</v>
      </c>
      <c r="AS107" s="209">
        <f t="shared" si="50"/>
        <v>8774049.481070146</v>
      </c>
      <c r="AT107" s="209">
        <f t="shared" si="50"/>
        <v>14369436.145622581</v>
      </c>
      <c r="AU107" s="209">
        <f t="shared" si="50"/>
        <v>-8202562.6786678433</v>
      </c>
      <c r="AV107" s="209">
        <f t="shared" si="50"/>
        <v>-14242557.287677705</v>
      </c>
      <c r="AW107" s="209">
        <f t="shared" si="50"/>
        <v>478127.87953118235</v>
      </c>
      <c r="AX107" s="209">
        <f t="shared" si="50"/>
        <v>-18655208.696611688</v>
      </c>
      <c r="AY107" s="209">
        <f t="shared" si="50"/>
        <v>-17827267.415611684</v>
      </c>
      <c r="AZ107" s="209">
        <f t="shared" si="50"/>
        <v>-16548101.134611689</v>
      </c>
      <c r="BA107" s="209">
        <f t="shared" si="50"/>
        <v>-47488684.853611685</v>
      </c>
      <c r="BB107" s="209">
        <f t="shared" si="50"/>
        <v>31416981.427388318</v>
      </c>
      <c r="BC107" s="209">
        <f t="shared" si="50"/>
        <v>31757647.708388314</v>
      </c>
      <c r="BD107" s="209">
        <f t="shared" si="50"/>
        <v>32098313.989388317</v>
      </c>
      <c r="BE107" s="209">
        <f t="shared" si="50"/>
        <v>11066426.937054977</v>
      </c>
      <c r="BF107" s="209">
        <f t="shared" si="50"/>
        <v>33619413.21805498</v>
      </c>
      <c r="BG107" s="209">
        <f t="shared" si="50"/>
        <v>33960079.499054983</v>
      </c>
      <c r="BH107" s="209">
        <f t="shared" si="50"/>
        <v>53544094.540054984</v>
      </c>
      <c r="BI107" s="209">
        <f t="shared" si="50"/>
        <v>54055093.961554982</v>
      </c>
      <c r="BJ107" s="209">
        <f t="shared" si="50"/>
        <v>-136956878.67294234</v>
      </c>
      <c r="BK107" s="209">
        <f t="shared" si="50"/>
        <v>0</v>
      </c>
      <c r="BL107" s="6">
        <f>+BL106-C98</f>
        <v>211348249.45403868</v>
      </c>
      <c r="BM107" s="6"/>
      <c r="BN107" s="6"/>
      <c r="BO107" s="6"/>
      <c r="BP107" s="6"/>
    </row>
    <row r="108" spans="1:83" ht="15.75" customHeight="1" x14ac:dyDescent="0.3">
      <c r="B108" s="209" t="s">
        <v>142</v>
      </c>
      <c r="C108" s="209">
        <f>+C107</f>
        <v>-1561793</v>
      </c>
      <c r="D108" s="209">
        <f t="shared" ref="D108:BK108" si="51">+C108+D107</f>
        <v>-2861793</v>
      </c>
      <c r="E108" s="209">
        <f t="shared" si="51"/>
        <v>-2901793</v>
      </c>
      <c r="F108" s="209">
        <f t="shared" si="51"/>
        <v>-5401793</v>
      </c>
      <c r="G108" s="209">
        <f t="shared" si="51"/>
        <v>-5401793</v>
      </c>
      <c r="H108" s="209">
        <f t="shared" si="51"/>
        <v>-5442609.3300000001</v>
      </c>
      <c r="I108" s="209">
        <f t="shared" si="51"/>
        <v>-5484609.3300000001</v>
      </c>
      <c r="J108" s="209">
        <f t="shared" si="51"/>
        <v>-5884609.3300000001</v>
      </c>
      <c r="K108" s="209">
        <f t="shared" si="51"/>
        <v>-5884609.3300000001</v>
      </c>
      <c r="L108" s="209">
        <f t="shared" si="51"/>
        <v>-8384609.3300000001</v>
      </c>
      <c r="M108" s="209">
        <f t="shared" si="51"/>
        <v>-8636561.3300000001</v>
      </c>
      <c r="N108" s="209">
        <f t="shared" si="51"/>
        <v>-9302536.5999999996</v>
      </c>
      <c r="O108" s="209">
        <f t="shared" si="51"/>
        <v>-9327536.5999999996</v>
      </c>
      <c r="P108" s="209">
        <f t="shared" si="51"/>
        <v>-9812536.5999999996</v>
      </c>
      <c r="Q108" s="209">
        <f t="shared" si="51"/>
        <v>-10162536.6</v>
      </c>
      <c r="R108" s="209">
        <f t="shared" si="51"/>
        <v>-10267536.6</v>
      </c>
      <c r="S108" s="209">
        <f t="shared" si="51"/>
        <v>-10267536.6</v>
      </c>
      <c r="T108" s="209">
        <f t="shared" si="51"/>
        <v>-10267536.6</v>
      </c>
      <c r="U108" s="209">
        <f t="shared" si="51"/>
        <v>-10267536.6</v>
      </c>
      <c r="V108" s="209">
        <f t="shared" si="51"/>
        <v>-14267536.6</v>
      </c>
      <c r="W108" s="209">
        <f t="shared" si="51"/>
        <v>-14267536.6</v>
      </c>
      <c r="X108" s="209">
        <f t="shared" si="51"/>
        <v>57246980.326111011</v>
      </c>
      <c r="Y108" s="209">
        <f t="shared" si="51"/>
        <v>72305200.312326714</v>
      </c>
      <c r="Z108" s="209">
        <f t="shared" si="51"/>
        <v>87997944.207703412</v>
      </c>
      <c r="AA108" s="209">
        <f t="shared" si="51"/>
        <v>104170843.0676506</v>
      </c>
      <c r="AB108" s="209">
        <f t="shared" si="51"/>
        <v>99498703.087266296</v>
      </c>
      <c r="AC108" s="209">
        <f t="shared" si="51"/>
        <v>102258446.47176008</v>
      </c>
      <c r="AD108" s="209">
        <f t="shared" si="51"/>
        <v>74112375.70545876</v>
      </c>
      <c r="AE108" s="209">
        <f t="shared" si="51"/>
        <v>118507923.01264109</v>
      </c>
      <c r="AF108" s="209">
        <f t="shared" si="51"/>
        <v>102361042.46717852</v>
      </c>
      <c r="AG108" s="209">
        <f t="shared" si="51"/>
        <v>84754746.871587098</v>
      </c>
      <c r="AH108" s="209">
        <f t="shared" si="51"/>
        <v>101016550.37659715</v>
      </c>
      <c r="AI108" s="209">
        <f t="shared" si="51"/>
        <v>118651750.54596123</v>
      </c>
      <c r="AJ108" s="209">
        <f t="shared" si="51"/>
        <v>126361562.5029176</v>
      </c>
      <c r="AK108" s="209">
        <f t="shared" si="51"/>
        <v>132044572.64808458</v>
      </c>
      <c r="AL108" s="209">
        <f t="shared" si="51"/>
        <v>140295400.81470013</v>
      </c>
      <c r="AM108" s="209">
        <f t="shared" si="51"/>
        <v>144832713.98898929</v>
      </c>
      <c r="AN108" s="209">
        <f t="shared" si="51"/>
        <v>144638128.35162053</v>
      </c>
      <c r="AO108" s="209">
        <f t="shared" si="51"/>
        <v>147565711.11539406</v>
      </c>
      <c r="AP108" s="209">
        <f t="shared" si="51"/>
        <v>153775510.23393422</v>
      </c>
      <c r="AQ108" s="209">
        <f t="shared" si="51"/>
        <v>150767303.64762264</v>
      </c>
      <c r="AR108" s="209">
        <f t="shared" si="51"/>
        <v>156283651.36764932</v>
      </c>
      <c r="AS108" s="209">
        <f t="shared" si="51"/>
        <v>165057700.84871948</v>
      </c>
      <c r="AT108" s="209">
        <f t="shared" si="51"/>
        <v>179427136.99434206</v>
      </c>
      <c r="AU108" s="209">
        <f t="shared" si="51"/>
        <v>171224574.31567422</v>
      </c>
      <c r="AV108" s="209">
        <f t="shared" si="51"/>
        <v>156982017.02799651</v>
      </c>
      <c r="AW108" s="209">
        <f t="shared" si="51"/>
        <v>157460144.90752769</v>
      </c>
      <c r="AX108" s="209">
        <f t="shared" si="51"/>
        <v>138804936.21091598</v>
      </c>
      <c r="AY108" s="209">
        <f t="shared" si="51"/>
        <v>120977668.7953043</v>
      </c>
      <c r="AZ108" s="209">
        <f t="shared" si="51"/>
        <v>104429567.6606926</v>
      </c>
      <c r="BA108" s="209">
        <f t="shared" si="51"/>
        <v>56940882.807080917</v>
      </c>
      <c r="BB108" s="209">
        <f t="shared" si="51"/>
        <v>88357864.234469235</v>
      </c>
      <c r="BC108" s="209">
        <f t="shared" si="51"/>
        <v>120115511.94285755</v>
      </c>
      <c r="BD108" s="209">
        <f t="shared" si="51"/>
        <v>152213825.93224585</v>
      </c>
      <c r="BE108" s="209">
        <f t="shared" si="51"/>
        <v>163280252.86930084</v>
      </c>
      <c r="BF108" s="209">
        <f t="shared" si="51"/>
        <v>196899666.08735582</v>
      </c>
      <c r="BG108" s="209">
        <f t="shared" si="51"/>
        <v>230859745.58641082</v>
      </c>
      <c r="BH108" s="209">
        <f t="shared" si="51"/>
        <v>284403840.1264658</v>
      </c>
      <c r="BI108" s="209">
        <f t="shared" si="51"/>
        <v>338458934.0880208</v>
      </c>
      <c r="BJ108" s="209">
        <f t="shared" si="51"/>
        <v>201502055.41507846</v>
      </c>
      <c r="BK108" s="209">
        <f t="shared" si="51"/>
        <v>201502055.41507846</v>
      </c>
      <c r="BL108" s="6"/>
      <c r="BM108" s="6"/>
      <c r="BN108" s="6"/>
      <c r="BO108" s="6"/>
      <c r="BP108" s="6"/>
    </row>
    <row r="109" spans="1:83" ht="15.75" customHeight="1" x14ac:dyDescent="0.3">
      <c r="B109" s="218" t="s">
        <v>165</v>
      </c>
      <c r="C109" s="212">
        <f>+MIN(B108:BK108)</f>
        <v>-14267536.6</v>
      </c>
      <c r="W109" s="6"/>
    </row>
    <row r="110" spans="1:83" ht="15.75" customHeight="1" x14ac:dyDescent="0.3">
      <c r="M110" s="161"/>
      <c r="P110" s="6"/>
    </row>
    <row r="111" spans="1:83" ht="15.75" customHeight="1" x14ac:dyDescent="0.3">
      <c r="P111" s="6"/>
      <c r="R111" s="6"/>
    </row>
    <row r="112" spans="1:83" ht="15.75" customHeight="1" x14ac:dyDescent="0.3">
      <c r="D112" s="219"/>
      <c r="P112" s="6"/>
    </row>
    <row r="113" spans="16:16" ht="15.75" customHeight="1" x14ac:dyDescent="0.3">
      <c r="P113" s="6"/>
    </row>
    <row r="114" spans="16:16" ht="15.75" customHeight="1" x14ac:dyDescent="0.3">
      <c r="P114" s="6"/>
    </row>
    <row r="115" spans="16:16" ht="15.75" customHeight="1" x14ac:dyDescent="0.3">
      <c r="P115" s="6"/>
    </row>
    <row r="116" spans="16:16" ht="15.75" customHeight="1" x14ac:dyDescent="0.3"/>
    <row r="117" spans="16:16" ht="15.75" customHeight="1" x14ac:dyDescent="0.3"/>
    <row r="118" spans="16:16" ht="15.75" customHeight="1" x14ac:dyDescent="0.3"/>
    <row r="119" spans="16:16" ht="15.75" customHeight="1" x14ac:dyDescent="0.3"/>
    <row r="120" spans="16:16" ht="15.75" customHeight="1" x14ac:dyDescent="0.3"/>
    <row r="121" spans="16:16" ht="15.75" customHeight="1" x14ac:dyDescent="0.3"/>
    <row r="122" spans="16:16" ht="15.75" customHeight="1" x14ac:dyDescent="0.3"/>
    <row r="123" spans="16:16" ht="15.75" customHeight="1" x14ac:dyDescent="0.3"/>
    <row r="124" spans="16:16" ht="15.75" customHeight="1" x14ac:dyDescent="0.3"/>
    <row r="125" spans="16:16" ht="15.75" customHeight="1" x14ac:dyDescent="0.3"/>
    <row r="126" spans="16:16" ht="15.75" customHeight="1" x14ac:dyDescent="0.3"/>
    <row r="127" spans="16:16" ht="15.75" customHeight="1" x14ac:dyDescent="0.3"/>
    <row r="128" spans="16:16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</sheetData>
  <mergeCells count="2">
    <mergeCell ref="B7:B8"/>
    <mergeCell ref="B11:B12"/>
  </mergeCells>
  <pageMargins left="0.25" right="0.25" top="0.75" bottom="0.75" header="0" footer="0"/>
  <pageSetup paperSize="3" orientation="landscape" r:id="rId1"/>
  <colBreaks count="1" manualBreakCount="1">
    <brk id="63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CDA5-0FF3-46F4-8C2D-DC474FB531AA}">
  <dimension ref="A1:S1000"/>
  <sheetViews>
    <sheetView showGridLines="0" view="pageBreakPreview" topLeftCell="A46" zoomScale="60" zoomScaleNormal="100" workbookViewId="0">
      <selection activeCell="F23" sqref="F23"/>
    </sheetView>
  </sheetViews>
  <sheetFormatPr baseColWidth="10" defaultColWidth="14.44140625" defaultRowHeight="15" customHeight="1" outlineLevelRow="1" x14ac:dyDescent="0.3"/>
  <cols>
    <col min="1" max="1" width="7.109375" style="4" customWidth="1"/>
    <col min="2" max="2" width="33.109375" style="4" customWidth="1"/>
    <col min="3" max="3" width="16.33203125" style="4" customWidth="1"/>
    <col min="4" max="4" width="15" style="4" customWidth="1"/>
    <col min="5" max="6" width="14.5546875" style="4" customWidth="1"/>
    <col min="7" max="7" width="16.109375" style="4" customWidth="1"/>
    <col min="8" max="8" width="27.6640625" style="4" customWidth="1"/>
    <col min="9" max="9" width="24" style="4" customWidth="1"/>
    <col min="10" max="10" width="22.109375" style="4" hidden="1" customWidth="1"/>
    <col min="11" max="11" width="14" style="4" customWidth="1"/>
    <col min="12" max="12" width="13" style="4" customWidth="1"/>
    <col min="13" max="13" width="2" style="4" customWidth="1"/>
    <col min="14" max="14" width="14.6640625" style="4" customWidth="1"/>
    <col min="15" max="15" width="15" style="4" customWidth="1"/>
    <col min="16" max="16" width="2" style="4" customWidth="1"/>
    <col min="17" max="16384" width="14.44140625" style="4"/>
  </cols>
  <sheetData>
    <row r="1" spans="1:19" ht="1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</row>
    <row r="2" spans="1:19" ht="1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</row>
    <row r="3" spans="1:19" ht="15.75" customHeight="1" thickBo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/>
      <c r="P3" s="3"/>
      <c r="Q3" s="3"/>
      <c r="R3" s="3"/>
    </row>
    <row r="4" spans="1:19" thickTop="1" x14ac:dyDescent="0.3">
      <c r="A4" s="3"/>
      <c r="D4" s="3"/>
      <c r="I4" s="3"/>
      <c r="J4" s="6"/>
      <c r="K4" s="7"/>
      <c r="L4" s="8"/>
      <c r="M4" s="3"/>
      <c r="N4" s="3"/>
      <c r="O4" s="3"/>
      <c r="P4" s="3"/>
      <c r="Q4" s="3"/>
      <c r="R4" s="3"/>
    </row>
    <row r="5" spans="1:19" ht="25.8" x14ac:dyDescent="0.5">
      <c r="A5" s="3"/>
      <c r="B5" s="9" t="s">
        <v>1</v>
      </c>
      <c r="I5" s="3"/>
      <c r="J5" s="6"/>
      <c r="K5" s="7"/>
      <c r="L5" s="8"/>
      <c r="M5" s="3"/>
      <c r="N5" s="3"/>
      <c r="O5" s="3"/>
      <c r="P5" s="3"/>
      <c r="Q5" s="3"/>
      <c r="R5" s="3"/>
    </row>
    <row r="6" spans="1:19" thickBot="1" x14ac:dyDescent="0.35">
      <c r="A6" s="3"/>
      <c r="B6" s="10"/>
      <c r="C6" s="10"/>
      <c r="D6" s="10"/>
      <c r="E6" s="10"/>
      <c r="F6" s="10"/>
      <c r="G6" s="10"/>
      <c r="H6" s="10"/>
      <c r="I6" s="10"/>
      <c r="J6" s="11">
        <v>65</v>
      </c>
      <c r="K6" s="7"/>
      <c r="L6" s="8"/>
      <c r="M6" s="3"/>
      <c r="N6" s="3"/>
      <c r="O6" s="3"/>
      <c r="P6" s="3"/>
      <c r="Q6" s="3"/>
      <c r="R6" s="3"/>
    </row>
    <row r="7" spans="1:19" thickTop="1" x14ac:dyDescent="0.3">
      <c r="A7" s="3"/>
      <c r="B7" s="10"/>
      <c r="C7" s="12" t="s">
        <v>2</v>
      </c>
      <c r="D7" s="12" t="s">
        <v>3</v>
      </c>
      <c r="E7" s="12" t="s">
        <v>4</v>
      </c>
      <c r="F7" s="12" t="s">
        <v>5</v>
      </c>
      <c r="G7" s="12" t="s">
        <v>6</v>
      </c>
      <c r="H7" s="12" t="s">
        <v>7</v>
      </c>
      <c r="I7" s="13" t="s">
        <v>8</v>
      </c>
      <c r="J7" s="14" t="s">
        <v>9</v>
      </c>
      <c r="K7" s="7"/>
      <c r="L7" s="8"/>
      <c r="M7" s="3"/>
      <c r="N7" s="3"/>
      <c r="O7" s="3"/>
      <c r="P7" s="3"/>
      <c r="Q7" s="3"/>
      <c r="R7" s="3"/>
    </row>
    <row r="8" spans="1:19" ht="14.4" x14ac:dyDescent="0.3">
      <c r="A8" s="3"/>
      <c r="B8" s="10"/>
      <c r="C8" s="10"/>
      <c r="D8" s="15"/>
      <c r="E8" s="15"/>
      <c r="F8" s="15"/>
      <c r="G8" s="15"/>
      <c r="H8" s="10"/>
      <c r="I8" s="16"/>
      <c r="J8" s="17"/>
      <c r="K8" s="7"/>
      <c r="L8" s="8"/>
      <c r="M8" s="3"/>
      <c r="N8" s="6"/>
      <c r="O8" s="3"/>
      <c r="P8" s="3"/>
      <c r="Q8" s="3"/>
      <c r="R8" s="3"/>
    </row>
    <row r="9" spans="1:19" ht="14.4" outlineLevel="1" x14ac:dyDescent="0.3">
      <c r="A9" s="3"/>
      <c r="B9" s="18" t="s">
        <v>10</v>
      </c>
      <c r="C9" s="10"/>
      <c r="D9" s="19"/>
      <c r="E9" s="15"/>
      <c r="F9" s="15"/>
      <c r="G9" s="15"/>
      <c r="H9" s="20"/>
      <c r="I9" s="21"/>
      <c r="J9" s="17"/>
      <c r="K9" s="7"/>
      <c r="L9" s="8"/>
      <c r="M9" s="3"/>
      <c r="N9" s="6"/>
      <c r="O9" s="6"/>
      <c r="P9" s="3"/>
      <c r="Q9" s="3"/>
      <c r="R9" s="3"/>
    </row>
    <row r="10" spans="1:19" outlineLevel="1" thickBot="1" x14ac:dyDescent="0.35">
      <c r="A10" s="22"/>
      <c r="B10" s="23" t="s">
        <v>11</v>
      </c>
      <c r="C10" s="24" t="s">
        <v>12</v>
      </c>
      <c r="D10" s="25">
        <v>45</v>
      </c>
      <c r="E10" s="25">
        <v>110</v>
      </c>
      <c r="F10" s="25">
        <f t="shared" ref="F10:F11" si="0">+E10*D10</f>
        <v>4950</v>
      </c>
      <c r="G10" s="25">
        <v>3000</v>
      </c>
      <c r="H10" s="25">
        <f>G10*E10</f>
        <v>330000</v>
      </c>
      <c r="I10" s="26">
        <f t="shared" ref="I10:I11" si="1">H10*D10</f>
        <v>14850000</v>
      </c>
      <c r="J10" s="27">
        <f t="shared" ref="J10:J11" si="2">I10/$J$6</f>
        <v>228461.53846153847</v>
      </c>
      <c r="K10" s="28"/>
      <c r="L10" s="28"/>
      <c r="M10" s="22"/>
      <c r="N10" s="29"/>
      <c r="O10" s="29"/>
      <c r="P10" s="22"/>
      <c r="Q10" s="22"/>
      <c r="R10" s="22"/>
      <c r="S10" s="22"/>
    </row>
    <row r="11" spans="1:19" ht="14.4" outlineLevel="1" x14ac:dyDescent="0.3">
      <c r="A11" s="22"/>
      <c r="B11" s="30" t="s">
        <v>13</v>
      </c>
      <c r="C11" s="22" t="s">
        <v>12</v>
      </c>
      <c r="D11" s="29"/>
      <c r="E11" s="29"/>
      <c r="F11" s="29">
        <f t="shared" si="0"/>
        <v>0</v>
      </c>
      <c r="G11" s="29">
        <v>2835</v>
      </c>
      <c r="H11" s="29"/>
      <c r="I11" s="31">
        <f t="shared" si="1"/>
        <v>0</v>
      </c>
      <c r="J11" s="32">
        <f t="shared" si="2"/>
        <v>0</v>
      </c>
      <c r="K11" s="28"/>
      <c r="L11" s="28"/>
      <c r="M11" s="22"/>
      <c r="N11" s="29"/>
      <c r="O11" s="29"/>
      <c r="P11" s="22"/>
      <c r="Q11" s="22"/>
      <c r="R11" s="22"/>
      <c r="S11" s="22"/>
    </row>
    <row r="12" spans="1:19" ht="14.4" outlineLevel="1" x14ac:dyDescent="0.3">
      <c r="A12" s="3"/>
      <c r="B12" s="33"/>
      <c r="C12" s="10"/>
      <c r="D12" s="15"/>
      <c r="E12" s="15"/>
      <c r="F12" s="15"/>
      <c r="G12" s="15"/>
      <c r="H12" s="15"/>
      <c r="I12" s="16"/>
      <c r="J12" s="17"/>
      <c r="K12" s="7"/>
      <c r="L12" s="8"/>
      <c r="M12" s="3"/>
      <c r="N12" s="6"/>
      <c r="O12" s="6"/>
      <c r="P12" s="3"/>
      <c r="Q12" s="3"/>
      <c r="R12" s="3"/>
    </row>
    <row r="13" spans="1:19" ht="14.4" outlineLevel="1" x14ac:dyDescent="0.3">
      <c r="A13" s="3"/>
      <c r="B13" s="18" t="s">
        <v>14</v>
      </c>
      <c r="C13" s="10"/>
      <c r="D13" s="15"/>
      <c r="E13" s="15"/>
      <c r="F13" s="15"/>
      <c r="G13" s="15"/>
      <c r="H13" s="15"/>
      <c r="I13" s="16"/>
      <c r="J13" s="17"/>
      <c r="K13" s="7"/>
      <c r="L13" s="8"/>
      <c r="M13" s="3"/>
      <c r="N13" s="6"/>
      <c r="O13" s="6"/>
      <c r="P13" s="3"/>
      <c r="Q13" s="3"/>
      <c r="R13" s="3"/>
    </row>
    <row r="14" spans="1:19" outlineLevel="1" thickBot="1" x14ac:dyDescent="0.35">
      <c r="A14" s="22"/>
      <c r="B14" s="23" t="s">
        <v>15</v>
      </c>
      <c r="C14" s="24" t="s">
        <v>16</v>
      </c>
      <c r="D14" s="25">
        <v>0</v>
      </c>
      <c r="E14" s="25">
        <v>110</v>
      </c>
      <c r="F14" s="25">
        <f t="shared" ref="F14:F15" si="3">+E14*D14</f>
        <v>0</v>
      </c>
      <c r="G14" s="25">
        <f>G10*1.1</f>
        <v>3300.0000000000005</v>
      </c>
      <c r="H14" s="25">
        <f>G14*E14</f>
        <v>363000.00000000006</v>
      </c>
      <c r="I14" s="26">
        <f t="shared" ref="I14:I15" si="4">H14*D14</f>
        <v>0</v>
      </c>
      <c r="J14" s="27">
        <f t="shared" ref="J14:J15" si="5">I14/$J$6</f>
        <v>0</v>
      </c>
      <c r="K14" s="28"/>
      <c r="L14" s="28"/>
      <c r="M14" s="22"/>
      <c r="N14" s="29"/>
      <c r="O14" s="29"/>
      <c r="P14" s="22"/>
      <c r="Q14" s="22"/>
      <c r="R14" s="22"/>
      <c r="S14" s="22"/>
    </row>
    <row r="15" spans="1:19" ht="14.4" outlineLevel="1" x14ac:dyDescent="0.3">
      <c r="A15" s="3"/>
      <c r="B15" s="34" t="s">
        <v>17</v>
      </c>
      <c r="C15" s="22" t="s">
        <v>16</v>
      </c>
      <c r="D15" s="35"/>
      <c r="E15" s="29"/>
      <c r="F15" s="29">
        <f t="shared" si="3"/>
        <v>0</v>
      </c>
      <c r="G15" s="29">
        <v>2415</v>
      </c>
      <c r="H15" s="29"/>
      <c r="I15" s="31">
        <f t="shared" si="4"/>
        <v>0</v>
      </c>
      <c r="J15" s="32">
        <f t="shared" si="5"/>
        <v>0</v>
      </c>
      <c r="K15" s="28"/>
      <c r="L15" s="8"/>
      <c r="M15" s="3"/>
      <c r="N15" s="6"/>
      <c r="O15" s="6"/>
      <c r="P15" s="3"/>
      <c r="Q15" s="3"/>
      <c r="R15" s="3"/>
    </row>
    <row r="16" spans="1:19" ht="15.75" customHeight="1" x14ac:dyDescent="0.3">
      <c r="A16" s="3"/>
      <c r="B16" s="18"/>
      <c r="C16" s="10"/>
      <c r="D16" s="19"/>
      <c r="E16" s="15"/>
      <c r="F16" s="15"/>
      <c r="G16" s="15"/>
      <c r="H16" s="29"/>
      <c r="I16" s="21"/>
      <c r="J16" s="17"/>
      <c r="K16" s="7"/>
      <c r="L16" s="8"/>
      <c r="M16" s="3"/>
      <c r="N16" s="6"/>
      <c r="O16" s="6"/>
      <c r="P16" s="3"/>
      <c r="Q16" s="3"/>
      <c r="R16" s="3"/>
    </row>
    <row r="17" spans="1:18" ht="15.75" customHeight="1" x14ac:dyDescent="0.3">
      <c r="A17" s="3"/>
      <c r="B17" s="36" t="s">
        <v>18</v>
      </c>
      <c r="C17" s="36"/>
      <c r="D17" s="37">
        <f>SUM(D9:D15)</f>
        <v>45</v>
      </c>
      <c r="E17" s="38">
        <f>+AVERAGE(E10:E15)</f>
        <v>110</v>
      </c>
      <c r="F17" s="38">
        <f>SUM(F9:F15)</f>
        <v>4950</v>
      </c>
      <c r="G17" s="38">
        <f>+AVERAGE(G10:G15)</f>
        <v>2887.5</v>
      </c>
      <c r="H17" s="38">
        <f>+I17/D17</f>
        <v>330000</v>
      </c>
      <c r="I17" s="39">
        <f>SUM(I10:I16)</f>
        <v>14850000</v>
      </c>
      <c r="J17" s="40">
        <f>SUM(J9:J15)</f>
        <v>228461.53846153847</v>
      </c>
      <c r="K17" s="7"/>
      <c r="L17" s="8"/>
      <c r="M17" s="3"/>
      <c r="N17" s="6"/>
      <c r="O17" s="6"/>
      <c r="P17" s="3"/>
      <c r="Q17" s="3"/>
      <c r="R17" s="3"/>
    </row>
    <row r="18" spans="1:18" ht="15.75" customHeight="1" x14ac:dyDescent="0.3">
      <c r="A18" s="3"/>
      <c r="B18" s="10"/>
      <c r="C18" s="19"/>
      <c r="D18" s="15"/>
      <c r="E18" s="10"/>
      <c r="F18" s="10"/>
      <c r="G18" s="10"/>
      <c r="H18" s="10"/>
      <c r="I18" s="21"/>
      <c r="J18" s="41"/>
      <c r="K18" s="7"/>
      <c r="L18" s="8"/>
      <c r="M18" s="3"/>
      <c r="N18" s="6"/>
      <c r="O18" s="6"/>
      <c r="P18" s="3"/>
      <c r="Q18" s="3"/>
      <c r="R18" s="3"/>
    </row>
    <row r="19" spans="1:18" ht="24" customHeight="1" x14ac:dyDescent="0.5">
      <c r="A19" s="3"/>
      <c r="B19" s="9" t="s">
        <v>19</v>
      </c>
      <c r="C19" s="10"/>
      <c r="D19" s="42"/>
      <c r="E19" s="42"/>
      <c r="F19" s="6"/>
      <c r="G19" s="43"/>
      <c r="H19" s="3"/>
      <c r="I19" s="44"/>
      <c r="J19" s="41"/>
      <c r="K19" s="7"/>
      <c r="L19" s="8"/>
      <c r="M19" s="3"/>
      <c r="N19" s="6"/>
      <c r="O19" s="6"/>
      <c r="P19" s="3"/>
      <c r="Q19" s="3"/>
      <c r="R19" s="3"/>
    </row>
    <row r="20" spans="1:18" ht="15.75" customHeight="1" x14ac:dyDescent="0.3">
      <c r="A20" s="3"/>
      <c r="C20" s="10"/>
      <c r="D20" s="42"/>
      <c r="G20" s="3"/>
      <c r="H20" s="3"/>
      <c r="I20" s="44"/>
      <c r="J20" s="41"/>
      <c r="K20" s="7"/>
      <c r="L20" s="8"/>
      <c r="M20" s="3"/>
      <c r="N20" s="6"/>
      <c r="O20" s="6"/>
      <c r="P20" s="3"/>
      <c r="Q20" s="3"/>
      <c r="R20" s="3"/>
    </row>
    <row r="21" spans="1:18" ht="15.75" customHeight="1" x14ac:dyDescent="0.3">
      <c r="A21" s="3"/>
      <c r="C21" s="10"/>
      <c r="D21" s="45"/>
      <c r="E21" s="45"/>
      <c r="F21" s="45"/>
      <c r="G21" s="45"/>
      <c r="H21" s="45"/>
      <c r="I21" s="46" t="s">
        <v>18</v>
      </c>
      <c r="J21" s="47"/>
      <c r="K21" s="48" t="s">
        <v>20</v>
      </c>
      <c r="L21" s="48" t="s">
        <v>21</v>
      </c>
      <c r="M21" s="3"/>
      <c r="N21" s="6"/>
      <c r="O21" s="6"/>
      <c r="P21" s="3"/>
      <c r="Q21" s="3"/>
      <c r="R21" s="3"/>
    </row>
    <row r="22" spans="1:18" ht="15.75" customHeight="1" x14ac:dyDescent="0.3">
      <c r="A22" s="49"/>
      <c r="B22" s="50" t="s">
        <v>22</v>
      </c>
      <c r="C22" s="51"/>
      <c r="D22" s="51"/>
      <c r="E22" s="51"/>
      <c r="F22" s="51"/>
      <c r="G22" s="51"/>
      <c r="H22" s="52"/>
      <c r="I22" s="53">
        <f>SUM(I23:I25)</f>
        <v>1802500</v>
      </c>
      <c r="J22" s="54">
        <f>I22/$J$6</f>
        <v>27730.76923076923</v>
      </c>
      <c r="K22" s="55">
        <f>I22/$I$80</f>
        <v>0.17066856028843622</v>
      </c>
      <c r="L22" s="55">
        <f>+I22/$I$17</f>
        <v>0.12138047138047138</v>
      </c>
      <c r="M22" s="49"/>
      <c r="N22" s="49"/>
      <c r="O22" s="56"/>
      <c r="P22" s="49"/>
      <c r="Q22" s="3"/>
      <c r="R22" s="3"/>
    </row>
    <row r="23" spans="1:18" ht="15.75" customHeight="1" outlineLevel="1" x14ac:dyDescent="0.3">
      <c r="A23" s="3"/>
      <c r="B23" s="10" t="s">
        <v>23</v>
      </c>
      <c r="C23" s="10"/>
      <c r="D23" s="15"/>
      <c r="E23" s="15">
        <f>+F17/F23</f>
        <v>0.99</v>
      </c>
      <c r="F23" s="15">
        <v>5000</v>
      </c>
      <c r="G23" s="29">
        <v>350</v>
      </c>
      <c r="H23" s="10"/>
      <c r="I23" s="16">
        <f>+(G23*F23)</f>
        <v>1750000</v>
      </c>
      <c r="J23" s="41"/>
      <c r="K23" s="7"/>
      <c r="L23" s="57"/>
      <c r="M23" s="3"/>
      <c r="N23" s="6"/>
      <c r="O23" s="6"/>
      <c r="P23" s="3"/>
      <c r="Q23" s="3"/>
      <c r="R23" s="3"/>
    </row>
    <row r="24" spans="1:18" ht="15.75" customHeight="1" outlineLevel="1" x14ac:dyDescent="0.3">
      <c r="A24" s="3"/>
      <c r="B24" s="10" t="s">
        <v>24</v>
      </c>
      <c r="C24" s="10"/>
      <c r="D24" s="15"/>
      <c r="E24" s="15"/>
      <c r="F24" s="15"/>
      <c r="G24" s="15"/>
      <c r="H24" s="10"/>
      <c r="I24" s="16">
        <v>0</v>
      </c>
      <c r="J24" s="41"/>
      <c r="K24" s="58"/>
      <c r="L24" s="59"/>
      <c r="M24" s="3"/>
      <c r="N24" s="6"/>
      <c r="O24" s="6"/>
      <c r="P24" s="3"/>
      <c r="Q24" s="3"/>
      <c r="R24" s="3"/>
    </row>
    <row r="25" spans="1:18" ht="15.75" customHeight="1" outlineLevel="1" x14ac:dyDescent="0.3">
      <c r="A25" s="3"/>
      <c r="B25" s="10" t="s">
        <v>25</v>
      </c>
      <c r="C25" s="60">
        <v>0.03</v>
      </c>
      <c r="D25" s="15"/>
      <c r="E25" s="15"/>
      <c r="F25" s="15"/>
      <c r="G25" s="15"/>
      <c r="H25" s="10"/>
      <c r="I25" s="16">
        <f>I23*C25</f>
        <v>52500</v>
      </c>
      <c r="J25" s="41"/>
      <c r="K25" s="58"/>
      <c r="L25" s="57"/>
      <c r="M25" s="3"/>
      <c r="N25" s="6"/>
      <c r="O25" s="6"/>
      <c r="P25" s="3"/>
      <c r="Q25" s="3"/>
      <c r="R25" s="3"/>
    </row>
    <row r="26" spans="1:18" ht="15.75" customHeight="1" x14ac:dyDescent="0.3">
      <c r="A26" s="3"/>
      <c r="B26" s="3"/>
      <c r="C26" s="10"/>
      <c r="D26" s="6"/>
      <c r="E26" s="6"/>
      <c r="F26" s="6"/>
      <c r="G26" s="6"/>
      <c r="H26" s="6"/>
      <c r="I26" s="61"/>
      <c r="J26" s="41"/>
      <c r="K26" s="58"/>
      <c r="L26" s="8"/>
      <c r="M26" s="3"/>
      <c r="N26" s="6"/>
      <c r="O26" s="6"/>
      <c r="P26" s="3"/>
      <c r="Q26" s="3"/>
      <c r="R26" s="3"/>
    </row>
    <row r="27" spans="1:18" ht="15.75" customHeight="1" x14ac:dyDescent="0.3">
      <c r="A27" s="49"/>
      <c r="B27" s="50" t="s">
        <v>26</v>
      </c>
      <c r="C27" s="51"/>
      <c r="D27" s="51"/>
      <c r="E27" s="51"/>
      <c r="F27" s="51"/>
      <c r="G27" s="51"/>
      <c r="H27" s="52"/>
      <c r="I27" s="53">
        <f>SUM(I28:I44)</f>
        <v>6499350</v>
      </c>
      <c r="J27" s="54">
        <f>I27/$J$6</f>
        <v>99990</v>
      </c>
      <c r="K27" s="55">
        <f>I27/$I$80</f>
        <v>0.61538680017234282</v>
      </c>
      <c r="L27" s="55">
        <f>+I27/$I$17</f>
        <v>0.43766666666666665</v>
      </c>
      <c r="M27" s="49"/>
      <c r="N27" s="7"/>
      <c r="O27" s="6"/>
      <c r="P27" s="49"/>
      <c r="Q27" s="62"/>
      <c r="R27" s="49"/>
    </row>
    <row r="28" spans="1:18" ht="15.75" customHeight="1" outlineLevel="1" x14ac:dyDescent="0.3">
      <c r="A28" s="49"/>
      <c r="B28" s="62"/>
      <c r="C28" s="49"/>
      <c r="D28" s="49"/>
      <c r="E28" s="49"/>
      <c r="F28" s="49"/>
      <c r="G28" s="49"/>
      <c r="H28" s="56"/>
      <c r="I28" s="61"/>
      <c r="J28" s="41"/>
      <c r="K28" s="63"/>
      <c r="L28" s="63"/>
      <c r="M28" s="49"/>
      <c r="N28" s="7"/>
      <c r="O28" s="7"/>
      <c r="P28" s="64"/>
      <c r="Q28" s="62"/>
      <c r="R28" s="49"/>
    </row>
    <row r="29" spans="1:18" ht="15.75" customHeight="1" outlineLevel="1" x14ac:dyDescent="0.3">
      <c r="A29" s="49"/>
      <c r="B29" s="10" t="s">
        <v>27</v>
      </c>
      <c r="C29" s="49"/>
      <c r="D29" s="49"/>
      <c r="E29" s="49"/>
      <c r="F29" s="49"/>
      <c r="G29" s="49"/>
      <c r="H29" s="56"/>
      <c r="I29" s="61"/>
      <c r="J29" s="41"/>
      <c r="K29" s="7"/>
      <c r="L29" s="63"/>
      <c r="M29" s="49"/>
      <c r="N29" s="7"/>
      <c r="O29" s="7"/>
      <c r="P29" s="64"/>
      <c r="Q29" s="62"/>
      <c r="R29" s="49"/>
    </row>
    <row r="30" spans="1:18" ht="15.75" customHeight="1" outlineLevel="1" x14ac:dyDescent="0.3">
      <c r="A30" s="49"/>
      <c r="B30" s="62"/>
      <c r="C30" s="49"/>
      <c r="D30" s="49"/>
      <c r="E30" s="10"/>
      <c r="F30" s="10"/>
      <c r="G30" s="10"/>
      <c r="H30" s="15"/>
      <c r="I30" s="61"/>
      <c r="J30" s="41"/>
      <c r="K30" s="65"/>
      <c r="L30" s="63"/>
      <c r="M30" s="49"/>
      <c r="N30" s="7"/>
      <c r="O30" s="66"/>
      <c r="P30" s="64"/>
      <c r="Q30" s="62"/>
      <c r="R30" s="49"/>
    </row>
    <row r="31" spans="1:18" ht="15.75" customHeight="1" outlineLevel="1" x14ac:dyDescent="0.3">
      <c r="A31" s="49"/>
      <c r="B31" s="67" t="str">
        <f t="shared" ref="B31:B33" si="6">+B9</f>
        <v>ETAPA I</v>
      </c>
      <c r="C31" s="49"/>
      <c r="D31" s="10"/>
      <c r="E31" s="10"/>
      <c r="F31" s="10"/>
      <c r="G31" s="10"/>
      <c r="H31" s="15"/>
      <c r="I31" s="61"/>
      <c r="J31" s="41"/>
      <c r="K31" s="68"/>
      <c r="L31" s="7"/>
      <c r="M31" s="69"/>
      <c r="N31" s="7"/>
      <c r="O31" s="66"/>
      <c r="P31" s="64"/>
      <c r="Q31" s="62"/>
      <c r="R31" s="49"/>
    </row>
    <row r="32" spans="1:18" ht="15.75" customHeight="1" outlineLevel="1" x14ac:dyDescent="0.3">
      <c r="A32" s="49"/>
      <c r="B32" s="70" t="str">
        <f t="shared" si="6"/>
        <v>FASE 1</v>
      </c>
      <c r="C32" s="49"/>
      <c r="D32" s="10">
        <f>+SUM(D10)/8</f>
        <v>5.625</v>
      </c>
      <c r="E32" s="10"/>
      <c r="F32" s="15">
        <f>+F10</f>
        <v>4950</v>
      </c>
      <c r="G32" s="29">
        <v>1300</v>
      </c>
      <c r="H32" s="15"/>
      <c r="I32" s="61">
        <f t="shared" ref="I32:I33" si="7">G32*F32</f>
        <v>6435000</v>
      </c>
      <c r="J32" s="41"/>
      <c r="K32" s="68"/>
      <c r="L32" s="7"/>
      <c r="M32" s="69"/>
      <c r="N32" s="7"/>
      <c r="O32" s="66"/>
      <c r="P32" s="64"/>
      <c r="Q32" s="62"/>
      <c r="R32" s="49"/>
    </row>
    <row r="33" spans="1:18" ht="15.75" customHeight="1" outlineLevel="1" x14ac:dyDescent="0.3">
      <c r="A33" s="49"/>
      <c r="B33" s="70" t="str">
        <f t="shared" si="6"/>
        <v>FASE 2</v>
      </c>
      <c r="C33" s="49"/>
      <c r="D33" s="10">
        <f>+D32</f>
        <v>5.625</v>
      </c>
      <c r="E33" s="10"/>
      <c r="F33" s="15">
        <f t="shared" ref="F33" si="8">+SUM(F11)</f>
        <v>0</v>
      </c>
      <c r="G33" s="29">
        <v>1050</v>
      </c>
      <c r="H33" s="15"/>
      <c r="I33" s="61">
        <f t="shared" si="7"/>
        <v>0</v>
      </c>
      <c r="J33" s="41"/>
      <c r="K33" s="68"/>
      <c r="L33" s="58"/>
      <c r="M33" s="69"/>
      <c r="N33" s="7"/>
      <c r="O33" s="66"/>
      <c r="P33" s="64"/>
      <c r="Q33" s="62"/>
      <c r="R33" s="49"/>
    </row>
    <row r="34" spans="1:18" ht="15.75" customHeight="1" outlineLevel="1" x14ac:dyDescent="0.3">
      <c r="A34" s="49"/>
      <c r="B34" s="70"/>
      <c r="C34" s="49"/>
      <c r="D34" s="10"/>
      <c r="E34" s="10"/>
      <c r="F34" s="15"/>
      <c r="G34" s="15"/>
      <c r="H34" s="15"/>
      <c r="I34" s="61"/>
      <c r="J34" s="41"/>
      <c r="K34" s="68"/>
      <c r="L34" s="58"/>
      <c r="M34" s="69"/>
      <c r="N34" s="7"/>
      <c r="O34" s="7"/>
      <c r="P34" s="69"/>
      <c r="Q34" s="62"/>
      <c r="R34" s="49"/>
    </row>
    <row r="35" spans="1:18" ht="15.75" customHeight="1" outlineLevel="1" x14ac:dyDescent="0.3">
      <c r="A35" s="49"/>
      <c r="B35" s="67" t="str">
        <f t="shared" ref="B35:B37" si="9">+B13</f>
        <v>ETAPA II</v>
      </c>
      <c r="C35" s="49"/>
      <c r="D35" s="10"/>
      <c r="E35" s="10"/>
      <c r="F35" s="15"/>
      <c r="G35" s="15"/>
      <c r="H35" s="15"/>
      <c r="I35" s="61"/>
      <c r="J35" s="41"/>
      <c r="K35" s="68"/>
      <c r="L35" s="58"/>
      <c r="M35" s="69"/>
      <c r="N35" s="7"/>
      <c r="O35" s="7"/>
      <c r="P35" s="69"/>
      <c r="Q35" s="62"/>
      <c r="R35" s="49"/>
    </row>
    <row r="36" spans="1:18" ht="15.75" customHeight="1" outlineLevel="1" x14ac:dyDescent="0.3">
      <c r="A36" s="49"/>
      <c r="B36" s="70" t="str">
        <f t="shared" si="9"/>
        <v>FASE 3</v>
      </c>
      <c r="C36" s="49"/>
      <c r="D36" s="15">
        <f t="shared" ref="D36:D37" si="10">+D14</f>
        <v>0</v>
      </c>
      <c r="E36" s="10"/>
      <c r="F36" s="15">
        <f t="shared" ref="F36:F37" si="11">+SUM(F14)</f>
        <v>0</v>
      </c>
      <c r="G36" s="29">
        <f>G32*1.05</f>
        <v>1365</v>
      </c>
      <c r="H36" s="15"/>
      <c r="I36" s="61">
        <f t="shared" ref="I36:I37" si="12">G36*F36</f>
        <v>0</v>
      </c>
      <c r="J36" s="41"/>
      <c r="K36" s="68"/>
      <c r="L36" s="58"/>
      <c r="M36" s="69"/>
      <c r="N36" s="69"/>
      <c r="O36" s="69"/>
      <c r="P36" s="69"/>
      <c r="Q36" s="62"/>
      <c r="R36" s="49"/>
    </row>
    <row r="37" spans="1:18" ht="15.75" customHeight="1" outlineLevel="1" x14ac:dyDescent="0.3">
      <c r="A37" s="49"/>
      <c r="B37" s="70" t="str">
        <f t="shared" si="9"/>
        <v>FASE 4</v>
      </c>
      <c r="C37" s="49"/>
      <c r="D37" s="15">
        <f t="shared" si="10"/>
        <v>0</v>
      </c>
      <c r="E37" s="10"/>
      <c r="F37" s="15">
        <f t="shared" si="11"/>
        <v>0</v>
      </c>
      <c r="G37" s="29">
        <v>1155</v>
      </c>
      <c r="H37" s="15"/>
      <c r="I37" s="61">
        <f t="shared" si="12"/>
        <v>0</v>
      </c>
      <c r="J37" s="41"/>
      <c r="K37" s="68"/>
      <c r="L37" s="58"/>
      <c r="M37" s="69"/>
      <c r="N37" s="69"/>
      <c r="O37" s="69"/>
      <c r="P37" s="69"/>
      <c r="Q37" s="62"/>
      <c r="R37" s="49"/>
    </row>
    <row r="38" spans="1:18" ht="15.75" customHeight="1" outlineLevel="1" x14ac:dyDescent="0.3">
      <c r="A38" s="3"/>
      <c r="B38" s="70"/>
      <c r="C38" s="10"/>
      <c r="D38" s="10"/>
      <c r="E38" s="6"/>
      <c r="F38" s="6"/>
      <c r="G38" s="29"/>
      <c r="H38" s="3"/>
      <c r="I38" s="61"/>
      <c r="J38" s="41"/>
      <c r="K38" s="68"/>
      <c r="L38" s="57"/>
      <c r="M38" s="6"/>
      <c r="N38" s="3"/>
      <c r="O38" s="3"/>
      <c r="P38" s="3"/>
      <c r="Q38" s="3"/>
      <c r="R38" s="3"/>
    </row>
    <row r="39" spans="1:18" ht="15.75" customHeight="1" outlineLevel="1" x14ac:dyDescent="0.3">
      <c r="A39" s="3"/>
      <c r="B39" s="67"/>
      <c r="C39" s="10"/>
      <c r="D39" s="10"/>
      <c r="E39" s="6"/>
      <c r="F39" s="6"/>
      <c r="G39" s="29"/>
      <c r="H39" s="3"/>
      <c r="I39" s="61">
        <f>G39*F39</f>
        <v>0</v>
      </c>
      <c r="J39" s="41"/>
      <c r="K39" s="68"/>
      <c r="L39" s="57"/>
      <c r="M39" s="6"/>
      <c r="N39" s="3"/>
      <c r="O39" s="3"/>
      <c r="P39" s="3"/>
      <c r="Q39" s="3"/>
      <c r="R39" s="3"/>
    </row>
    <row r="40" spans="1:18" ht="15.75" customHeight="1" outlineLevel="1" x14ac:dyDescent="0.3">
      <c r="A40" s="3"/>
      <c r="B40" s="10"/>
      <c r="C40" s="10"/>
      <c r="D40" s="10"/>
      <c r="E40" s="6"/>
      <c r="F40" s="6"/>
      <c r="G40" s="6"/>
      <c r="H40" s="3"/>
      <c r="I40" s="61"/>
      <c r="J40" s="41"/>
      <c r="K40" s="68"/>
      <c r="L40" s="57"/>
      <c r="M40" s="6"/>
      <c r="N40" s="3"/>
      <c r="O40" s="3"/>
      <c r="P40" s="3"/>
      <c r="Q40" s="3"/>
      <c r="R40" s="3"/>
    </row>
    <row r="41" spans="1:18" ht="15.75" customHeight="1" outlineLevel="1" x14ac:dyDescent="0.3">
      <c r="A41" s="3"/>
      <c r="B41" s="62"/>
      <c r="C41" s="10"/>
      <c r="D41" s="10"/>
      <c r="E41" s="6"/>
      <c r="F41" s="6"/>
      <c r="G41" s="6"/>
      <c r="H41" s="3"/>
      <c r="I41" s="61"/>
      <c r="J41" s="41"/>
      <c r="K41" s="58"/>
      <c r="L41" s="57"/>
      <c r="M41" s="6"/>
      <c r="N41" s="3"/>
      <c r="O41" s="3"/>
      <c r="P41" s="3"/>
      <c r="Q41" s="3"/>
      <c r="R41" s="3"/>
    </row>
    <row r="42" spans="1:18" ht="15.75" customHeight="1" outlineLevel="1" x14ac:dyDescent="0.3">
      <c r="A42" s="3"/>
      <c r="B42" s="67" t="s">
        <v>28</v>
      </c>
      <c r="C42" s="10"/>
      <c r="D42" s="71">
        <v>0.01</v>
      </c>
      <c r="E42" s="6"/>
      <c r="F42" s="6"/>
      <c r="G42" s="6"/>
      <c r="H42" s="3"/>
      <c r="I42" s="61">
        <f>+SUM(I32:J40)*D42</f>
        <v>64350</v>
      </c>
      <c r="J42" s="41"/>
      <c r="K42" s="58"/>
      <c r="L42" s="57"/>
      <c r="M42" s="6"/>
      <c r="N42" s="3"/>
      <c r="O42" s="3"/>
      <c r="P42" s="3"/>
      <c r="Q42" s="3"/>
      <c r="R42" s="3"/>
    </row>
    <row r="43" spans="1:18" ht="15.75" customHeight="1" outlineLevel="1" x14ac:dyDescent="0.3">
      <c r="A43" s="3"/>
      <c r="B43" s="67"/>
      <c r="C43" s="10"/>
      <c r="D43" s="10"/>
      <c r="E43" s="6"/>
      <c r="F43" s="6"/>
      <c r="G43" s="72"/>
      <c r="H43" s="3"/>
      <c r="I43" s="61"/>
      <c r="J43" s="41"/>
      <c r="K43" s="58"/>
      <c r="L43" s="57"/>
      <c r="M43" s="6"/>
      <c r="N43" s="3"/>
      <c r="O43" s="3"/>
      <c r="P43" s="3"/>
      <c r="Q43" s="3"/>
      <c r="R43" s="3"/>
    </row>
    <row r="44" spans="1:18" ht="15.75" customHeight="1" x14ac:dyDescent="0.3">
      <c r="A44" s="3"/>
      <c r="B44" s="3"/>
      <c r="C44" s="10"/>
      <c r="D44" s="6"/>
      <c r="E44" s="6"/>
      <c r="F44" s="6"/>
      <c r="G44" s="6"/>
      <c r="H44" s="3"/>
      <c r="I44" s="61"/>
      <c r="J44" s="41"/>
      <c r="K44" s="58"/>
      <c r="L44" s="57"/>
      <c r="M44" s="3"/>
      <c r="N44" s="3"/>
      <c r="O44" s="3"/>
      <c r="P44" s="3"/>
      <c r="Q44" s="3"/>
      <c r="R44" s="3"/>
    </row>
    <row r="45" spans="1:18" ht="15.75" customHeight="1" x14ac:dyDescent="0.3">
      <c r="A45" s="49"/>
      <c r="B45" s="50" t="s">
        <v>29</v>
      </c>
      <c r="C45" s="51"/>
      <c r="D45" s="51"/>
      <c r="E45" s="51"/>
      <c r="F45" s="51"/>
      <c r="G45" s="51"/>
      <c r="H45" s="52"/>
      <c r="I45" s="53">
        <f>SUM(I47:I56)</f>
        <v>313981.8</v>
      </c>
      <c r="J45" s="54">
        <f>I45/$J$6</f>
        <v>4830.4892307692307</v>
      </c>
      <c r="K45" s="55">
        <f>I45/$I$80</f>
        <v>2.9729166026503034E-2</v>
      </c>
      <c r="L45" s="55">
        <f>+I45/$I$17</f>
        <v>2.1143555555555554E-2</v>
      </c>
      <c r="M45" s="49"/>
      <c r="N45" s="65"/>
      <c r="O45" s="49"/>
      <c r="P45" s="49"/>
      <c r="Q45" s="62"/>
      <c r="R45" s="49"/>
    </row>
    <row r="46" spans="1:18" ht="15.75" customHeight="1" outlineLevel="1" x14ac:dyDescent="0.3">
      <c r="A46" s="3"/>
      <c r="B46" s="3"/>
      <c r="C46" s="10"/>
      <c r="D46" s="6"/>
      <c r="E46" s="6"/>
      <c r="F46" s="6"/>
      <c r="G46" s="6"/>
      <c r="H46" s="3"/>
      <c r="I46" s="61"/>
      <c r="J46" s="41"/>
      <c r="K46" s="58"/>
      <c r="L46" s="57"/>
      <c r="M46" s="3"/>
      <c r="N46" s="73"/>
      <c r="O46" s="3"/>
      <c r="P46" s="3"/>
      <c r="Q46" s="3"/>
      <c r="R46" s="3"/>
    </row>
    <row r="47" spans="1:18" ht="15.75" customHeight="1" outlineLevel="1" x14ac:dyDescent="0.3">
      <c r="A47" s="3"/>
      <c r="B47" s="74" t="s">
        <v>30</v>
      </c>
      <c r="C47" s="75">
        <v>0.02</v>
      </c>
      <c r="D47" s="6"/>
      <c r="E47" s="6"/>
      <c r="F47" s="6"/>
      <c r="G47" s="6"/>
      <c r="H47" s="3"/>
      <c r="I47" s="31">
        <f>I27*C47</f>
        <v>129987</v>
      </c>
      <c r="J47" s="41"/>
      <c r="K47" s="58"/>
      <c r="L47" s="57"/>
      <c r="M47" s="3"/>
      <c r="N47" s="73"/>
      <c r="O47" s="3"/>
      <c r="P47" s="3"/>
      <c r="Q47" s="3"/>
      <c r="R47" s="3"/>
    </row>
    <row r="48" spans="1:18" ht="15.75" customHeight="1" outlineLevel="1" x14ac:dyDescent="0.3">
      <c r="A48" s="3"/>
      <c r="B48" s="76" t="s">
        <v>31</v>
      </c>
      <c r="C48" s="75"/>
      <c r="D48" s="6"/>
      <c r="E48" s="6"/>
      <c r="F48" s="6"/>
      <c r="G48" s="6"/>
      <c r="H48" s="3"/>
      <c r="I48" s="31">
        <v>10000</v>
      </c>
      <c r="J48" s="41"/>
      <c r="K48" s="7"/>
      <c r="L48" s="8"/>
      <c r="M48" s="3"/>
      <c r="N48" s="73"/>
      <c r="O48" s="3"/>
      <c r="P48" s="3"/>
      <c r="Q48" s="3"/>
      <c r="R48" s="3"/>
    </row>
    <row r="49" spans="1:18" ht="15.75" customHeight="1" outlineLevel="1" x14ac:dyDescent="0.3">
      <c r="A49" s="3"/>
      <c r="B49" s="76"/>
      <c r="C49" s="75"/>
      <c r="D49" s="6"/>
      <c r="E49" s="6"/>
      <c r="F49" s="6"/>
      <c r="G49" s="6"/>
      <c r="H49" s="3"/>
      <c r="I49" s="31"/>
      <c r="J49" s="41"/>
      <c r="K49" s="7"/>
      <c r="L49" s="8"/>
      <c r="M49" s="3"/>
      <c r="N49" s="73"/>
      <c r="O49" s="3"/>
      <c r="P49" s="3"/>
      <c r="Q49" s="3"/>
      <c r="R49" s="3"/>
    </row>
    <row r="50" spans="1:18" ht="15.75" customHeight="1" outlineLevel="1" x14ac:dyDescent="0.3">
      <c r="A50" s="3"/>
      <c r="B50" s="76" t="s">
        <v>32</v>
      </c>
      <c r="C50" s="75"/>
      <c r="D50" s="6"/>
      <c r="E50" s="6"/>
      <c r="F50" s="6"/>
      <c r="G50" s="6"/>
      <c r="H50" s="3"/>
      <c r="I50" s="31">
        <v>2000</v>
      </c>
      <c r="J50" s="41"/>
      <c r="K50" s="7"/>
      <c r="L50" s="8"/>
      <c r="M50" s="3"/>
      <c r="N50" s="73"/>
      <c r="O50" s="3"/>
      <c r="P50" s="3"/>
      <c r="Q50" s="3"/>
      <c r="R50" s="3"/>
    </row>
    <row r="51" spans="1:18" ht="15.75" customHeight="1" outlineLevel="1" x14ac:dyDescent="0.3">
      <c r="A51" s="3"/>
      <c r="B51" s="76" t="s">
        <v>33</v>
      </c>
      <c r="C51" s="75"/>
      <c r="D51" s="6"/>
      <c r="E51" s="6"/>
      <c r="F51" s="6"/>
      <c r="G51" s="6"/>
      <c r="H51" s="3"/>
      <c r="I51" s="31">
        <v>10000</v>
      </c>
      <c r="J51" s="41"/>
      <c r="K51" s="58"/>
      <c r="L51" s="57"/>
      <c r="M51" s="6"/>
      <c r="N51" s="73"/>
      <c r="O51" s="3"/>
      <c r="P51" s="3"/>
      <c r="Q51" s="3"/>
      <c r="R51" s="3"/>
    </row>
    <row r="52" spans="1:18" ht="15.75" customHeight="1" outlineLevel="1" x14ac:dyDescent="0.3">
      <c r="A52" s="3"/>
      <c r="B52" s="76" t="s">
        <v>34</v>
      </c>
      <c r="C52" s="75"/>
      <c r="D52" s="6"/>
      <c r="E52" s="6"/>
      <c r="F52" s="6"/>
      <c r="G52" s="6"/>
      <c r="H52" s="3"/>
      <c r="I52" s="31">
        <v>10000</v>
      </c>
      <c r="J52" s="41"/>
      <c r="K52" s="58"/>
      <c r="L52" s="57"/>
      <c r="M52" s="6"/>
      <c r="N52" s="73"/>
      <c r="O52" s="3"/>
      <c r="P52" s="3"/>
      <c r="Q52" s="3"/>
      <c r="R52" s="3"/>
    </row>
    <row r="53" spans="1:18" ht="15.75" customHeight="1" outlineLevel="1" x14ac:dyDescent="0.3">
      <c r="A53" s="3"/>
      <c r="B53" s="76" t="s">
        <v>35</v>
      </c>
      <c r="C53" s="77"/>
      <c r="D53" s="6"/>
      <c r="E53" s="6"/>
      <c r="F53" s="6"/>
      <c r="G53" s="6"/>
      <c r="H53" s="3"/>
      <c r="I53" s="31">
        <v>100000</v>
      </c>
      <c r="J53" s="41"/>
      <c r="K53" s="58"/>
      <c r="L53" s="57"/>
      <c r="M53" s="6"/>
      <c r="N53" s="73"/>
      <c r="O53" s="3"/>
      <c r="P53" s="3"/>
      <c r="Q53" s="3"/>
      <c r="R53" s="3"/>
    </row>
    <row r="54" spans="1:18" ht="15.75" customHeight="1" outlineLevel="1" x14ac:dyDescent="0.3">
      <c r="A54" s="3"/>
      <c r="B54" s="74"/>
      <c r="C54" s="77"/>
      <c r="D54" s="6"/>
      <c r="E54" s="6"/>
      <c r="F54" s="6"/>
      <c r="G54" s="6"/>
      <c r="H54" s="3"/>
      <c r="I54" s="61"/>
      <c r="J54" s="41"/>
      <c r="K54" s="58"/>
      <c r="L54" s="57"/>
      <c r="M54" s="3"/>
      <c r="N54" s="73"/>
      <c r="O54" s="3"/>
      <c r="P54" s="3"/>
      <c r="Q54" s="3"/>
      <c r="R54" s="3"/>
    </row>
    <row r="55" spans="1:18" ht="15.75" customHeight="1" outlineLevel="1" x14ac:dyDescent="0.3">
      <c r="A55" s="3"/>
      <c r="B55" s="74" t="s">
        <v>36</v>
      </c>
      <c r="C55" s="77">
        <v>8.0000000000000002E-3</v>
      </c>
      <c r="D55" s="6"/>
      <c r="E55" s="6"/>
      <c r="F55" s="6"/>
      <c r="G55" s="6"/>
      <c r="H55" s="3"/>
      <c r="I55" s="31">
        <f>I27*C55</f>
        <v>51994.8</v>
      </c>
      <c r="J55" s="41"/>
      <c r="K55" s="58"/>
      <c r="L55" s="57"/>
      <c r="M55" s="3"/>
      <c r="N55" s="73"/>
      <c r="O55" s="3"/>
      <c r="P55" s="3"/>
      <c r="Q55" s="3"/>
      <c r="R55" s="3"/>
    </row>
    <row r="56" spans="1:18" ht="15.75" customHeight="1" x14ac:dyDescent="0.3">
      <c r="A56" s="3"/>
      <c r="B56" s="3"/>
      <c r="C56" s="78"/>
      <c r="D56" s="8"/>
      <c r="E56" s="8"/>
      <c r="F56" s="8"/>
      <c r="G56" s="8"/>
      <c r="H56" s="79"/>
      <c r="I56" s="80"/>
      <c r="J56" s="81"/>
      <c r="K56" s="58"/>
      <c r="L56" s="57"/>
      <c r="M56" s="3"/>
      <c r="N56" s="3"/>
      <c r="O56" s="3"/>
      <c r="P56" s="3"/>
      <c r="Q56" s="3"/>
      <c r="R56" s="3"/>
    </row>
    <row r="57" spans="1:18" ht="15.75" customHeight="1" x14ac:dyDescent="0.3">
      <c r="A57" s="49"/>
      <c r="B57" s="50" t="s">
        <v>37</v>
      </c>
      <c r="C57" s="51"/>
      <c r="D57" s="51"/>
      <c r="E57" s="51"/>
      <c r="F57" s="51"/>
      <c r="G57" s="51"/>
      <c r="H57" s="52"/>
      <c r="I57" s="53">
        <f>+SUM(I58:I66)</f>
        <v>90990.9</v>
      </c>
      <c r="J57" s="54">
        <f>I57/$J$6</f>
        <v>1399.86</v>
      </c>
      <c r="K57" s="55">
        <f>I57/$I$80</f>
        <v>8.6154152024127996E-3</v>
      </c>
      <c r="L57" s="55">
        <f>+I57/$I$17</f>
        <v>6.1273333333333327E-3</v>
      </c>
      <c r="M57" s="49"/>
      <c r="N57" s="49"/>
      <c r="O57" s="49"/>
      <c r="P57" s="49"/>
      <c r="Q57" s="62"/>
      <c r="R57" s="49"/>
    </row>
    <row r="58" spans="1:18" ht="15.75" customHeight="1" outlineLevel="1" x14ac:dyDescent="0.3">
      <c r="A58" s="74"/>
      <c r="B58" s="74" t="s">
        <v>38</v>
      </c>
      <c r="C58" s="77">
        <v>0</v>
      </c>
      <c r="D58" s="82"/>
      <c r="E58" s="82"/>
      <c r="F58" s="82"/>
      <c r="G58" s="82"/>
      <c r="H58" s="74"/>
      <c r="I58" s="31">
        <f>C58*I27</f>
        <v>0</v>
      </c>
      <c r="J58" s="83"/>
      <c r="K58" s="58"/>
      <c r="L58" s="84"/>
      <c r="M58" s="74"/>
      <c r="N58" s="74"/>
      <c r="O58" s="74"/>
      <c r="P58" s="74"/>
      <c r="Q58" s="3"/>
      <c r="R58" s="3"/>
    </row>
    <row r="59" spans="1:18" ht="15.75" customHeight="1" outlineLevel="1" x14ac:dyDescent="0.3">
      <c r="A59" s="74"/>
      <c r="B59" s="74" t="s">
        <v>39</v>
      </c>
      <c r="C59" s="77">
        <v>6.0000000000000001E-3</v>
      </c>
      <c r="D59" s="82"/>
      <c r="E59" s="82"/>
      <c r="F59" s="82"/>
      <c r="G59" s="82"/>
      <c r="H59" s="74"/>
      <c r="I59" s="31">
        <f>C59*I27</f>
        <v>38996.1</v>
      </c>
      <c r="J59" s="83"/>
      <c r="K59" s="58"/>
      <c r="L59" s="84"/>
      <c r="M59" s="74"/>
      <c r="N59" s="74"/>
      <c r="O59" s="74"/>
      <c r="P59" s="74"/>
      <c r="Q59" s="3"/>
      <c r="R59" s="3"/>
    </row>
    <row r="60" spans="1:18" ht="15.75" customHeight="1" outlineLevel="1" x14ac:dyDescent="0.3">
      <c r="A60" s="3"/>
      <c r="B60" s="74" t="s">
        <v>40</v>
      </c>
      <c r="C60" s="77">
        <v>8.0000000000000002E-3</v>
      </c>
      <c r="D60" s="79"/>
      <c r="E60" s="79"/>
      <c r="F60" s="79"/>
      <c r="G60" s="3"/>
      <c r="H60" s="3"/>
      <c r="I60" s="31">
        <f>C60*I27</f>
        <v>51994.8</v>
      </c>
      <c r="J60" s="83"/>
      <c r="K60" s="7"/>
      <c r="L60" s="57"/>
      <c r="M60" s="3"/>
      <c r="N60" s="3"/>
      <c r="O60" s="3"/>
      <c r="P60" s="3"/>
      <c r="Q60" s="3"/>
      <c r="R60" s="3"/>
    </row>
    <row r="61" spans="1:18" ht="15.75" customHeight="1" outlineLevel="1" x14ac:dyDescent="0.3">
      <c r="A61" s="3"/>
      <c r="B61" s="74" t="s">
        <v>41</v>
      </c>
      <c r="C61" s="77">
        <v>0.18</v>
      </c>
      <c r="D61" s="79"/>
      <c r="E61" s="79"/>
      <c r="F61" s="79"/>
      <c r="G61" s="3"/>
      <c r="H61" s="3"/>
      <c r="I61" s="31"/>
      <c r="J61" s="41"/>
      <c r="K61" s="7"/>
      <c r="L61" s="57"/>
      <c r="M61" s="3"/>
      <c r="N61" s="3"/>
      <c r="O61" s="3"/>
      <c r="P61" s="3"/>
      <c r="Q61" s="3"/>
      <c r="R61" s="3"/>
    </row>
    <row r="62" spans="1:18" ht="15.75" customHeight="1" outlineLevel="1" x14ac:dyDescent="0.3">
      <c r="A62" s="3"/>
      <c r="B62" s="74" t="s">
        <v>42</v>
      </c>
      <c r="C62" s="85">
        <v>0</v>
      </c>
      <c r="D62" s="79"/>
      <c r="E62" s="79"/>
      <c r="F62" s="79"/>
      <c r="G62" s="3"/>
      <c r="H62" s="3"/>
      <c r="I62" s="31">
        <f>C62*I17</f>
        <v>0</v>
      </c>
      <c r="J62" s="41"/>
      <c r="K62" s="58"/>
      <c r="L62" s="57"/>
      <c r="M62" s="3"/>
      <c r="N62" s="3"/>
      <c r="O62" s="3"/>
      <c r="P62" s="3"/>
      <c r="Q62" s="3"/>
      <c r="R62" s="3"/>
    </row>
    <row r="63" spans="1:18" ht="15.75" customHeight="1" outlineLevel="1" x14ac:dyDescent="0.3">
      <c r="A63" s="3"/>
      <c r="B63" s="3" t="s">
        <v>43</v>
      </c>
      <c r="C63" s="78"/>
      <c r="D63" s="79"/>
      <c r="E63" s="79"/>
      <c r="F63" s="79"/>
      <c r="G63" s="79"/>
      <c r="H63" s="79"/>
      <c r="I63" s="31">
        <v>0</v>
      </c>
      <c r="J63" s="81"/>
      <c r="K63" s="58"/>
      <c r="L63" s="57"/>
      <c r="M63" s="3"/>
      <c r="N63" s="3"/>
      <c r="O63" s="3"/>
      <c r="P63" s="3"/>
      <c r="Q63" s="3"/>
      <c r="R63" s="3"/>
    </row>
    <row r="64" spans="1:18" ht="15.75" customHeight="1" outlineLevel="1" x14ac:dyDescent="0.3">
      <c r="A64" s="3"/>
      <c r="B64" s="3" t="s">
        <v>44</v>
      </c>
      <c r="C64" s="78"/>
      <c r="D64" s="79"/>
      <c r="E64" s="79"/>
      <c r="F64" s="79"/>
      <c r="G64" s="79"/>
      <c r="H64" s="79"/>
      <c r="I64" s="31"/>
      <c r="J64" s="81"/>
      <c r="K64" s="58"/>
      <c r="L64" s="57"/>
      <c r="M64" s="3"/>
      <c r="N64" s="3"/>
      <c r="O64" s="3"/>
      <c r="P64" s="3"/>
      <c r="Q64" s="3"/>
      <c r="R64" s="3"/>
    </row>
    <row r="65" spans="1:18" ht="15.75" customHeight="1" outlineLevel="1" x14ac:dyDescent="0.3">
      <c r="A65" s="3"/>
      <c r="B65" s="3"/>
      <c r="C65" s="86"/>
      <c r="D65" s="79"/>
      <c r="E65" s="79"/>
      <c r="F65" s="79"/>
      <c r="G65" s="79"/>
      <c r="H65" s="79"/>
      <c r="I65" s="87"/>
      <c r="J65" s="81"/>
      <c r="K65" s="58"/>
      <c r="L65" s="57"/>
      <c r="M65" s="3"/>
      <c r="N65" s="3"/>
      <c r="O65" s="3"/>
      <c r="P65" s="3"/>
      <c r="Q65" s="3"/>
      <c r="R65" s="3"/>
    </row>
    <row r="66" spans="1:18" ht="15.75" customHeight="1" x14ac:dyDescent="0.3">
      <c r="A66" s="3"/>
      <c r="B66" s="3"/>
      <c r="C66" s="86"/>
      <c r="D66" s="79"/>
      <c r="E66" s="79"/>
      <c r="F66" s="79"/>
      <c r="G66" s="79"/>
      <c r="H66" s="79"/>
      <c r="I66" s="61"/>
      <c r="J66" s="81"/>
      <c r="K66" s="58"/>
      <c r="L66" s="57"/>
      <c r="M66" s="3"/>
      <c r="N66" s="3"/>
      <c r="O66" s="3"/>
      <c r="P66" s="3"/>
      <c r="Q66" s="3"/>
      <c r="R66" s="3"/>
    </row>
    <row r="67" spans="1:18" ht="15.75" customHeight="1" x14ac:dyDescent="0.3">
      <c r="A67" s="49"/>
      <c r="B67" s="50" t="s">
        <v>45</v>
      </c>
      <c r="C67" s="51"/>
      <c r="D67" s="51"/>
      <c r="E67" s="51"/>
      <c r="F67" s="51"/>
      <c r="G67" s="51"/>
      <c r="H67" s="52"/>
      <c r="I67" s="53">
        <f>+SUM(I68:I70)</f>
        <v>603203.55405000004</v>
      </c>
      <c r="J67" s="54">
        <f>I67/$J$6</f>
        <v>9280.0546776923075</v>
      </c>
      <c r="K67" s="55">
        <f>I67/$I$80</f>
        <v>5.7113942929587477E-2</v>
      </c>
      <c r="L67" s="55">
        <f>+I67/$I$17</f>
        <v>4.0619767949494949E-2</v>
      </c>
      <c r="M67" s="49"/>
      <c r="N67" s="49"/>
      <c r="O67" s="65"/>
      <c r="P67" s="49"/>
      <c r="Q67" s="62"/>
      <c r="R67" s="49"/>
    </row>
    <row r="68" spans="1:18" ht="15.75" customHeight="1" outlineLevel="1" x14ac:dyDescent="0.3">
      <c r="A68" s="3"/>
      <c r="B68" s="3" t="s">
        <v>46</v>
      </c>
      <c r="C68" s="86">
        <v>0.2</v>
      </c>
      <c r="D68" s="79"/>
      <c r="E68" s="79"/>
      <c r="F68" s="79"/>
      <c r="G68" s="79"/>
      <c r="H68" s="79"/>
      <c r="I68" s="31">
        <v>588266.25</v>
      </c>
      <c r="J68" s="81"/>
      <c r="K68" s="58"/>
      <c r="L68" s="57"/>
      <c r="M68" s="3"/>
      <c r="N68" s="3"/>
      <c r="O68" s="73"/>
      <c r="P68" s="3"/>
      <c r="Q68" s="3"/>
      <c r="R68" s="3"/>
    </row>
    <row r="69" spans="1:18" ht="15.75" customHeight="1" outlineLevel="1" x14ac:dyDescent="0.3">
      <c r="A69" s="3"/>
      <c r="B69" s="3" t="s">
        <v>47</v>
      </c>
      <c r="H69" s="3"/>
      <c r="I69" s="31">
        <f>(I22+I27+I45+I57+I71+I75)*0.15%</f>
        <v>14937.304050000002</v>
      </c>
      <c r="J69" s="81"/>
      <c r="K69" s="58"/>
      <c r="L69" s="57"/>
      <c r="M69" s="3"/>
      <c r="N69" s="3"/>
      <c r="O69" s="73"/>
      <c r="P69" s="3"/>
      <c r="Q69" s="3"/>
      <c r="R69" s="3"/>
    </row>
    <row r="70" spans="1:18" ht="15.75" customHeight="1" x14ac:dyDescent="0.3">
      <c r="A70" s="3"/>
      <c r="B70" s="3"/>
      <c r="C70" s="78"/>
      <c r="D70" s="79"/>
      <c r="E70" s="79"/>
      <c r="F70" s="79"/>
      <c r="G70" s="79"/>
      <c r="H70" s="79"/>
      <c r="I70" s="61"/>
      <c r="J70" s="81"/>
      <c r="K70" s="58"/>
      <c r="L70" s="57"/>
      <c r="M70" s="3"/>
      <c r="N70" s="3"/>
      <c r="O70" s="73"/>
      <c r="P70" s="3"/>
      <c r="Q70" s="3"/>
      <c r="R70" s="3"/>
    </row>
    <row r="71" spans="1:18" ht="15.75" customHeight="1" x14ac:dyDescent="0.3">
      <c r="A71" s="49"/>
      <c r="B71" s="50" t="s">
        <v>48</v>
      </c>
      <c r="C71" s="51"/>
      <c r="D71" s="51"/>
      <c r="E71" s="51"/>
      <c r="F71" s="51"/>
      <c r="G71" s="51"/>
      <c r="H71" s="52"/>
      <c r="I71" s="53">
        <f>+SUM(I72:I74)</f>
        <v>0</v>
      </c>
      <c r="J71" s="54">
        <f>I71/$J$6</f>
        <v>0</v>
      </c>
      <c r="K71" s="55">
        <f>I71/$I$80</f>
        <v>0</v>
      </c>
      <c r="L71" s="55">
        <f>+I71/$I$17</f>
        <v>0</v>
      </c>
      <c r="M71" s="49"/>
      <c r="N71" s="49"/>
      <c r="O71" s="88"/>
      <c r="P71" s="49"/>
      <c r="Q71" s="62"/>
      <c r="R71" s="49"/>
    </row>
    <row r="72" spans="1:18" ht="15.75" customHeight="1" outlineLevel="1" x14ac:dyDescent="0.3">
      <c r="A72" s="3"/>
      <c r="B72" s="3" t="s">
        <v>49</v>
      </c>
      <c r="C72" s="86">
        <v>0</v>
      </c>
      <c r="D72" s="79"/>
      <c r="E72" s="79"/>
      <c r="F72" s="3"/>
      <c r="G72" s="3"/>
      <c r="H72" s="3"/>
      <c r="I72" s="31">
        <f>C72*I17</f>
        <v>0</v>
      </c>
      <c r="J72" s="41"/>
      <c r="K72" s="7"/>
      <c r="L72" s="8"/>
      <c r="M72" s="3"/>
      <c r="N72" s="3"/>
      <c r="O72" s="73"/>
      <c r="P72" s="3"/>
      <c r="Q72" s="3"/>
      <c r="R72" s="3"/>
    </row>
    <row r="73" spans="1:18" ht="15.75" customHeight="1" outlineLevel="1" x14ac:dyDescent="0.3">
      <c r="A73" s="3"/>
      <c r="B73" s="3" t="s">
        <v>41</v>
      </c>
      <c r="C73" s="86">
        <v>0.18</v>
      </c>
      <c r="D73" s="79"/>
      <c r="E73" s="79"/>
      <c r="F73" s="3"/>
      <c r="G73" s="3"/>
      <c r="H73" s="3"/>
      <c r="I73" s="31">
        <f>+I72*18%</f>
        <v>0</v>
      </c>
      <c r="J73" s="41"/>
      <c r="K73" s="58"/>
      <c r="L73" s="57"/>
      <c r="M73" s="3"/>
      <c r="N73" s="6"/>
      <c r="O73" s="73"/>
      <c r="P73" s="3"/>
      <c r="Q73" s="3"/>
      <c r="R73" s="3"/>
    </row>
    <row r="74" spans="1:18" ht="15.75" customHeight="1" x14ac:dyDescent="0.3">
      <c r="A74" s="3"/>
      <c r="B74" s="3"/>
      <c r="C74" s="78"/>
      <c r="D74" s="79"/>
      <c r="E74" s="79"/>
      <c r="F74" s="79"/>
      <c r="G74" s="79"/>
      <c r="H74" s="79"/>
      <c r="I74" s="80"/>
      <c r="J74" s="81"/>
      <c r="K74" s="58"/>
      <c r="L74" s="57"/>
      <c r="M74" s="3"/>
      <c r="N74" s="3"/>
      <c r="O74" s="73"/>
      <c r="P74" s="3"/>
      <c r="Q74" s="3"/>
      <c r="R74" s="3"/>
    </row>
    <row r="75" spans="1:18" ht="15.75" customHeight="1" x14ac:dyDescent="0.3">
      <c r="A75" s="3"/>
      <c r="B75" s="50" t="s">
        <v>50</v>
      </c>
      <c r="C75" s="50"/>
      <c r="D75" s="51"/>
      <c r="E75" s="51"/>
      <c r="F75" s="51"/>
      <c r="G75" s="51"/>
      <c r="H75" s="51"/>
      <c r="I75" s="53">
        <f>SUM(I76:I79)</f>
        <v>1251380</v>
      </c>
      <c r="J75" s="54">
        <f>I75/$J$6</f>
        <v>19252</v>
      </c>
      <c r="K75" s="55">
        <f>I75/$I$80</f>
        <v>0.11848611538071752</v>
      </c>
      <c r="L75" s="55">
        <f>+I75/$I$17</f>
        <v>8.4268013468013464E-2</v>
      </c>
      <c r="M75" s="3"/>
      <c r="N75" s="3"/>
      <c r="O75" s="73"/>
      <c r="P75" s="3"/>
      <c r="Q75" s="3"/>
      <c r="R75" s="3"/>
    </row>
    <row r="76" spans="1:18" ht="15.75" customHeight="1" outlineLevel="1" x14ac:dyDescent="0.3">
      <c r="A76" s="3"/>
      <c r="B76" s="3" t="s">
        <v>51</v>
      </c>
      <c r="C76" s="86"/>
      <c r="G76" s="3"/>
      <c r="H76" s="3"/>
      <c r="I76" s="31">
        <v>200000</v>
      </c>
      <c r="J76" s="41"/>
      <c r="K76" s="58"/>
      <c r="L76" s="57"/>
      <c r="M76" s="3"/>
      <c r="N76" s="3"/>
      <c r="O76" s="73"/>
      <c r="P76" s="3"/>
      <c r="Q76" s="3"/>
      <c r="R76" s="3"/>
    </row>
    <row r="77" spans="1:18" ht="15.75" customHeight="1" outlineLevel="1" x14ac:dyDescent="0.3">
      <c r="A77" s="3"/>
      <c r="B77" s="3" t="s">
        <v>50</v>
      </c>
      <c r="C77" s="86">
        <v>0.06</v>
      </c>
      <c r="G77" s="3"/>
      <c r="H77" s="3"/>
      <c r="I77" s="31">
        <f>C77*I17</f>
        <v>891000</v>
      </c>
      <c r="J77" s="41"/>
      <c r="K77" s="58"/>
      <c r="L77" s="57"/>
      <c r="M77" s="3"/>
      <c r="N77" s="3"/>
      <c r="O77" s="73"/>
      <c r="P77" s="3"/>
      <c r="Q77" s="3"/>
      <c r="R77" s="3"/>
    </row>
    <row r="78" spans="1:18" ht="15.75" customHeight="1" outlineLevel="1" x14ac:dyDescent="0.3">
      <c r="A78" s="3"/>
      <c r="B78" s="74" t="s">
        <v>41</v>
      </c>
      <c r="C78" s="86">
        <v>0.18</v>
      </c>
      <c r="H78" s="3"/>
      <c r="I78" s="31">
        <f>+I77*18%</f>
        <v>160380</v>
      </c>
      <c r="J78" s="41"/>
      <c r="K78" s="58"/>
      <c r="L78" s="57"/>
      <c r="M78" s="3"/>
      <c r="N78" s="3"/>
      <c r="O78" s="73"/>
      <c r="P78" s="3"/>
      <c r="Q78" s="3"/>
      <c r="R78" s="3"/>
    </row>
    <row r="79" spans="1:18" ht="15.75" customHeight="1" x14ac:dyDescent="0.3">
      <c r="A79" s="3"/>
      <c r="C79" s="10"/>
      <c r="H79" s="3"/>
      <c r="I79" s="61"/>
      <c r="J79" s="41"/>
      <c r="K79" s="58"/>
      <c r="L79" s="57"/>
      <c r="M79" s="3"/>
      <c r="N79" s="3"/>
      <c r="O79" s="73"/>
      <c r="P79" s="3"/>
      <c r="Q79" s="3"/>
      <c r="R79" s="3"/>
    </row>
    <row r="80" spans="1:18" ht="15.75" customHeight="1" x14ac:dyDescent="0.3">
      <c r="A80" s="3"/>
      <c r="B80" s="89" t="s">
        <v>52</v>
      </c>
      <c r="C80" s="90"/>
      <c r="D80" s="90"/>
      <c r="E80" s="90"/>
      <c r="F80" s="90"/>
      <c r="G80" s="90"/>
      <c r="H80" s="90"/>
      <c r="I80" s="91">
        <f>I22+I27+I45+I57+I71+I75+I67</f>
        <v>10561406.254050002</v>
      </c>
      <c r="J80" s="92">
        <f>I80/$J$6</f>
        <v>162483.17313923078</v>
      </c>
      <c r="K80" s="58"/>
      <c r="L80" s="57"/>
      <c r="M80" s="6"/>
      <c r="N80" s="6"/>
      <c r="O80" s="73"/>
      <c r="P80" s="3"/>
      <c r="Q80" s="3"/>
      <c r="R80" s="3"/>
    </row>
    <row r="81" spans="1:19" ht="15.75" customHeight="1" x14ac:dyDescent="0.3">
      <c r="A81" s="3"/>
      <c r="H81" s="3"/>
      <c r="I81" s="61"/>
      <c r="J81" s="41"/>
      <c r="K81" s="79"/>
      <c r="L81" s="3"/>
      <c r="M81" s="3"/>
      <c r="N81" s="3"/>
      <c r="O81" s="3"/>
      <c r="P81" s="3"/>
      <c r="Q81" s="3"/>
      <c r="R81" s="3"/>
    </row>
    <row r="82" spans="1:19" ht="15.75" customHeight="1" thickBot="1" x14ac:dyDescent="0.35">
      <c r="A82" s="3"/>
      <c r="B82" s="93" t="s">
        <v>53</v>
      </c>
      <c r="C82" s="90"/>
      <c r="D82" s="90"/>
      <c r="E82" s="90"/>
      <c r="F82" s="90"/>
      <c r="G82" s="90"/>
      <c r="H82" s="90"/>
      <c r="I82" s="94">
        <f>I17-I80</f>
        <v>4288593.7459499985</v>
      </c>
      <c r="J82" s="95">
        <f t="shared" ref="J82:J83" si="13">I82/$J$6</f>
        <v>65978.365322307669</v>
      </c>
      <c r="K82" s="7"/>
      <c r="L82" s="6"/>
      <c r="M82" s="3"/>
      <c r="N82" s="3"/>
      <c r="O82" s="3"/>
      <c r="P82" s="3"/>
      <c r="Q82" s="3"/>
      <c r="R82" s="3"/>
    </row>
    <row r="83" spans="1:19" ht="15.75" customHeight="1" thickBot="1" x14ac:dyDescent="0.35">
      <c r="A83" s="3"/>
      <c r="B83" s="93" t="s">
        <v>54</v>
      </c>
      <c r="C83" s="90"/>
      <c r="D83" s="90"/>
      <c r="E83" s="90"/>
      <c r="F83" s="90"/>
      <c r="G83" s="90"/>
      <c r="H83" s="90"/>
      <c r="I83" s="96">
        <f>+I82*0.9</f>
        <v>3859734.3713549986</v>
      </c>
      <c r="J83" s="95">
        <f t="shared" si="13"/>
        <v>59380.528790076904</v>
      </c>
      <c r="K83" s="7"/>
      <c r="L83" s="6"/>
      <c r="M83" s="3"/>
      <c r="N83" s="3"/>
      <c r="O83" s="3"/>
      <c r="P83" s="3"/>
      <c r="Q83" s="3"/>
      <c r="R83" s="3"/>
    </row>
    <row r="84" spans="1:19" ht="15.75" customHeight="1" thickTop="1" x14ac:dyDescent="0.3">
      <c r="A84" s="3"/>
      <c r="H84" s="73"/>
      <c r="I84" s="97">
        <f>I82/I17</f>
        <v>0.28879419164646453</v>
      </c>
      <c r="J84" s="98" t="s">
        <v>55</v>
      </c>
      <c r="K84" s="7"/>
      <c r="L84" s="8"/>
      <c r="M84" s="3"/>
      <c r="N84" s="3"/>
      <c r="O84" s="3"/>
      <c r="P84" s="3"/>
      <c r="Q84" s="3"/>
      <c r="R84" s="3"/>
    </row>
    <row r="85" spans="1:19" ht="15.75" customHeight="1" thickBot="1" x14ac:dyDescent="0.35">
      <c r="A85" s="3"/>
      <c r="C85" s="6"/>
      <c r="H85" s="73"/>
      <c r="I85" s="99">
        <f>+I82/I80</f>
        <v>0.40606275743871167</v>
      </c>
      <c r="J85" s="98" t="s">
        <v>56</v>
      </c>
      <c r="K85" s="8"/>
      <c r="L85" s="3"/>
      <c r="M85" s="3"/>
      <c r="N85" s="3"/>
      <c r="O85" s="3"/>
      <c r="P85" s="3"/>
      <c r="Q85" s="3"/>
      <c r="R85" s="3"/>
    </row>
    <row r="86" spans="1:19" ht="15.75" customHeight="1" thickTop="1" x14ac:dyDescent="0.3">
      <c r="A86" s="3"/>
      <c r="C86" s="3"/>
      <c r="D86" s="6"/>
      <c r="I86" s="6"/>
      <c r="J86" s="6"/>
      <c r="K86" s="7"/>
      <c r="L86" s="6"/>
      <c r="M86" s="3"/>
      <c r="N86" s="3"/>
      <c r="O86" s="3"/>
      <c r="P86" s="3"/>
      <c r="Q86" s="3"/>
      <c r="R86" s="3"/>
    </row>
    <row r="87" spans="1:19" ht="15.75" customHeight="1" x14ac:dyDescent="0.3">
      <c r="A87" s="3"/>
      <c r="B87" s="3"/>
      <c r="C87" s="3"/>
      <c r="D87" s="3"/>
      <c r="E87" s="3"/>
      <c r="F87" s="3"/>
      <c r="G87" s="100"/>
      <c r="H87" s="101"/>
      <c r="I87" s="6"/>
      <c r="J87" s="7"/>
      <c r="K87" s="3"/>
      <c r="L87" s="3"/>
      <c r="M87" s="3"/>
      <c r="N87" s="3"/>
      <c r="O87" s="3"/>
      <c r="P87" s="3"/>
      <c r="Q87" s="3"/>
      <c r="R87" s="3"/>
    </row>
    <row r="88" spans="1:19" ht="15.75" customHeight="1" x14ac:dyDescent="0.3">
      <c r="A88" s="3"/>
      <c r="B88" s="3"/>
      <c r="C88" s="3"/>
      <c r="D88" s="3"/>
      <c r="E88" s="3"/>
      <c r="F88" s="3"/>
      <c r="G88" s="102"/>
      <c r="H88" s="103"/>
      <c r="I88" s="66"/>
      <c r="J88" s="6"/>
      <c r="K88" s="3"/>
      <c r="L88" s="3"/>
      <c r="M88" s="3"/>
      <c r="N88" s="3"/>
      <c r="O88" s="3"/>
      <c r="P88" s="3"/>
      <c r="Q88" s="3"/>
      <c r="R88" s="3"/>
    </row>
    <row r="89" spans="1:19" ht="15.75" customHeight="1" x14ac:dyDescent="0.3">
      <c r="A89" s="3"/>
      <c r="B89" s="3"/>
      <c r="C89" s="3"/>
      <c r="D89" s="3"/>
      <c r="E89" s="3"/>
      <c r="F89" s="3"/>
      <c r="G89" s="102"/>
      <c r="H89" s="15"/>
      <c r="I89" s="15"/>
      <c r="J89" s="6"/>
      <c r="K89" s="68"/>
      <c r="L89" s="20"/>
      <c r="M89" s="3"/>
      <c r="N89" s="3"/>
      <c r="O89" s="3"/>
      <c r="P89" s="3"/>
      <c r="Q89" s="3"/>
      <c r="R89" s="3"/>
    </row>
    <row r="90" spans="1:19" ht="15.75" customHeight="1" x14ac:dyDescent="0.3">
      <c r="A90" s="3"/>
      <c r="B90" s="3"/>
      <c r="C90" s="3"/>
      <c r="D90" s="3"/>
      <c r="E90" s="3"/>
      <c r="F90" s="3"/>
      <c r="G90" s="104"/>
      <c r="H90" s="15"/>
      <c r="I90" s="15"/>
      <c r="J90" s="6"/>
      <c r="K90" s="68"/>
      <c r="L90" s="20"/>
      <c r="M90" s="3"/>
      <c r="N90" s="3"/>
      <c r="O90" s="3"/>
      <c r="P90" s="3"/>
      <c r="Q90" s="3"/>
      <c r="R90" s="3"/>
    </row>
    <row r="91" spans="1:19" ht="15.75" customHeight="1" x14ac:dyDescent="0.3">
      <c r="A91" s="3"/>
      <c r="B91" s="3"/>
      <c r="C91" s="3"/>
      <c r="D91" s="3"/>
      <c r="E91" s="3"/>
      <c r="F91" s="3"/>
      <c r="G91" s="102"/>
      <c r="H91" s="15"/>
      <c r="I91" s="15"/>
      <c r="J91" s="105"/>
      <c r="K91" s="68"/>
      <c r="L91" s="20"/>
      <c r="M91" s="3"/>
      <c r="N91" s="3"/>
      <c r="O91" s="3"/>
      <c r="P91" s="3"/>
      <c r="Q91" s="3"/>
      <c r="R91" s="3"/>
    </row>
    <row r="92" spans="1:19" ht="15.75" customHeight="1" x14ac:dyDescent="0.3">
      <c r="A92" s="3"/>
      <c r="B92" s="3"/>
      <c r="C92" s="3"/>
      <c r="D92" s="3"/>
      <c r="E92" s="3"/>
      <c r="F92" s="3"/>
      <c r="G92" s="102"/>
      <c r="H92" s="10"/>
      <c r="I92" s="15"/>
      <c r="J92" s="15"/>
      <c r="K92" s="68"/>
      <c r="L92" s="20"/>
      <c r="M92" s="3"/>
      <c r="N92" s="3"/>
      <c r="O92" s="3"/>
      <c r="P92" s="3"/>
      <c r="Q92" s="106"/>
      <c r="R92" s="106"/>
      <c r="S92" s="106"/>
    </row>
    <row r="93" spans="1:19" ht="15.75" customHeight="1" x14ac:dyDescent="0.3">
      <c r="A93" s="3"/>
      <c r="B93" s="3"/>
      <c r="C93" s="3"/>
      <c r="D93" s="3"/>
      <c r="E93" s="3"/>
      <c r="F93" s="3"/>
      <c r="G93" s="107"/>
      <c r="H93" s="10"/>
      <c r="I93" s="15"/>
      <c r="J93" s="15"/>
      <c r="K93" s="68"/>
      <c r="L93" s="68"/>
      <c r="M93" s="3"/>
      <c r="N93" s="3"/>
      <c r="O93" s="3"/>
      <c r="P93" s="3"/>
      <c r="Q93" s="3"/>
      <c r="R93" s="3"/>
    </row>
    <row r="94" spans="1:19" ht="15.75" customHeight="1" x14ac:dyDescent="0.3">
      <c r="A94" s="3"/>
      <c r="B94" s="3"/>
      <c r="C94" s="3"/>
      <c r="D94" s="3"/>
      <c r="E94" s="3"/>
      <c r="F94" s="3"/>
      <c r="G94" s="108"/>
      <c r="H94" s="60"/>
      <c r="I94" s="15"/>
      <c r="J94" s="15"/>
      <c r="K94" s="68"/>
      <c r="L94" s="68"/>
      <c r="M94" s="3"/>
      <c r="N94" s="3"/>
      <c r="O94" s="3"/>
      <c r="P94" s="3"/>
      <c r="Q94" s="3"/>
      <c r="R94" s="3"/>
    </row>
    <row r="95" spans="1:19" ht="15.75" customHeight="1" x14ac:dyDescent="0.3">
      <c r="A95" s="3"/>
      <c r="B95" s="3"/>
      <c r="C95" s="3"/>
      <c r="D95" s="3"/>
      <c r="E95" s="3"/>
      <c r="F95" s="3"/>
      <c r="G95" s="108"/>
      <c r="H95" s="60"/>
      <c r="I95" s="15"/>
      <c r="J95" s="105"/>
      <c r="K95" s="88"/>
      <c r="L95" s="68"/>
      <c r="M95" s="3"/>
      <c r="N95" s="3"/>
      <c r="O95" s="3"/>
      <c r="P95" s="3"/>
      <c r="Q95" s="3"/>
      <c r="R95" s="3"/>
    </row>
    <row r="96" spans="1:19" ht="15.75" customHeight="1" x14ac:dyDescent="0.3">
      <c r="A96" s="3"/>
      <c r="B96" s="69"/>
      <c r="C96" s="7"/>
      <c r="D96" s="15"/>
      <c r="F96" s="10"/>
      <c r="G96" s="104"/>
      <c r="H96" s="15"/>
      <c r="I96" s="15"/>
      <c r="J96" s="60"/>
      <c r="K96" s="68"/>
      <c r="L96" s="109"/>
      <c r="M96" s="3"/>
      <c r="N96" s="3"/>
      <c r="O96" s="3"/>
      <c r="P96" s="3"/>
      <c r="Q96" s="3"/>
      <c r="R96" s="3"/>
    </row>
    <row r="97" spans="1:18" ht="15.75" customHeight="1" x14ac:dyDescent="0.3">
      <c r="A97" s="3"/>
      <c r="B97" s="10"/>
      <c r="C97" s="15"/>
      <c r="D97" s="15"/>
      <c r="F97" s="110"/>
      <c r="G97" s="108"/>
      <c r="H97" s="10"/>
      <c r="I97" s="15"/>
      <c r="J97" s="15"/>
      <c r="K97" s="68"/>
      <c r="L97" s="109"/>
      <c r="M97" s="3"/>
      <c r="N97" s="3"/>
      <c r="O97" s="3"/>
      <c r="P97" s="3"/>
      <c r="Q97" s="3"/>
      <c r="R97" s="3"/>
    </row>
    <row r="98" spans="1:18" ht="15.75" customHeight="1" x14ac:dyDescent="0.3">
      <c r="A98" s="3"/>
      <c r="B98" s="10"/>
      <c r="C98" s="15"/>
      <c r="D98" s="15"/>
      <c r="F98" s="110"/>
      <c r="G98" s="111"/>
      <c r="H98" s="10"/>
      <c r="I98" s="15"/>
      <c r="J98" s="15"/>
      <c r="K98" s="68"/>
      <c r="L98" s="109"/>
      <c r="M98" s="3"/>
      <c r="N98" s="3"/>
      <c r="O98" s="3"/>
      <c r="P98" s="3"/>
      <c r="Q98" s="3"/>
      <c r="R98" s="3"/>
    </row>
    <row r="99" spans="1:18" ht="15.75" customHeight="1" x14ac:dyDescent="0.3">
      <c r="A99" s="3"/>
      <c r="B99" s="10"/>
      <c r="C99" s="15"/>
      <c r="D99" s="15"/>
      <c r="F99" s="7"/>
      <c r="G99" s="108"/>
      <c r="H99" s="112"/>
      <c r="I99" s="113"/>
      <c r="J99" s="114"/>
      <c r="K99" s="65"/>
      <c r="L99" s="109"/>
      <c r="M99" s="3"/>
      <c r="N99" s="3"/>
      <c r="O99" s="3"/>
      <c r="P99" s="3"/>
      <c r="Q99" s="3"/>
      <c r="R99" s="3"/>
    </row>
    <row r="100" spans="1:18" ht="15.75" customHeight="1" x14ac:dyDescent="0.3">
      <c r="A100" s="3"/>
      <c r="B100" s="10"/>
      <c r="C100" s="15"/>
      <c r="D100" s="15"/>
      <c r="E100" s="15"/>
      <c r="F100" s="7"/>
      <c r="G100" s="102"/>
      <c r="H100" s="112"/>
      <c r="I100" s="112"/>
      <c r="J100" s="15"/>
      <c r="K100" s="68"/>
      <c r="L100" s="109"/>
      <c r="M100" s="3"/>
      <c r="N100" s="3"/>
      <c r="O100" s="3"/>
      <c r="P100" s="3"/>
      <c r="Q100" s="3"/>
      <c r="R100" s="3"/>
    </row>
    <row r="101" spans="1:18" ht="15.75" customHeight="1" x14ac:dyDescent="0.3">
      <c r="A101" s="3"/>
      <c r="B101" s="10"/>
      <c r="C101" s="15"/>
      <c r="D101" s="15"/>
      <c r="E101" s="10"/>
      <c r="F101" s="7"/>
      <c r="G101" s="102"/>
      <c r="H101" s="115"/>
      <c r="I101" s="115"/>
      <c r="J101" s="15"/>
      <c r="K101" s="68"/>
      <c r="L101" s="109"/>
      <c r="M101" s="3"/>
      <c r="N101" s="3"/>
      <c r="O101" s="3"/>
      <c r="P101" s="3"/>
      <c r="Q101" s="3"/>
      <c r="R101" s="3"/>
    </row>
    <row r="102" spans="1:18" ht="15.75" customHeight="1" x14ac:dyDescent="0.3">
      <c r="A102" s="3"/>
      <c r="C102" s="6"/>
      <c r="D102" s="15"/>
      <c r="F102" s="6"/>
      <c r="G102" s="3"/>
      <c r="H102" s="6"/>
      <c r="I102" s="3"/>
      <c r="J102" s="6"/>
      <c r="K102" s="68"/>
      <c r="L102" s="109"/>
      <c r="M102" s="3"/>
      <c r="N102" s="3"/>
      <c r="O102" s="3"/>
      <c r="P102" s="3"/>
      <c r="Q102" s="3"/>
      <c r="R102" s="3"/>
    </row>
    <row r="103" spans="1:18" ht="15.75" customHeight="1" x14ac:dyDescent="0.3">
      <c r="A103" s="3"/>
      <c r="F103" s="6"/>
      <c r="G103" s="3"/>
      <c r="H103" s="6"/>
      <c r="I103" s="3"/>
      <c r="J103" s="6"/>
      <c r="K103" s="68"/>
      <c r="L103" s="109"/>
      <c r="M103" s="3"/>
      <c r="N103" s="3"/>
      <c r="O103" s="3"/>
      <c r="P103" s="3"/>
      <c r="Q103" s="3"/>
      <c r="R103" s="3"/>
    </row>
    <row r="104" spans="1:18" ht="15.75" customHeight="1" x14ac:dyDescent="0.3">
      <c r="A104" s="3"/>
      <c r="F104" s="6"/>
      <c r="G104" s="3"/>
      <c r="H104" s="6"/>
      <c r="I104" s="3"/>
      <c r="J104" s="6"/>
      <c r="K104" s="68"/>
      <c r="L104" s="109"/>
      <c r="M104" s="3"/>
      <c r="N104" s="3"/>
      <c r="O104" s="3"/>
      <c r="P104" s="3"/>
      <c r="Q104" s="3"/>
      <c r="R104" s="3"/>
    </row>
    <row r="105" spans="1:18" ht="15.75" customHeight="1" x14ac:dyDescent="0.3">
      <c r="A105" s="3"/>
      <c r="F105" s="6"/>
      <c r="G105" s="3"/>
      <c r="H105" s="6"/>
      <c r="I105" s="3"/>
      <c r="J105" s="6"/>
      <c r="K105" s="68"/>
      <c r="L105" s="109"/>
      <c r="M105" s="3"/>
      <c r="N105" s="3"/>
      <c r="O105" s="3"/>
      <c r="P105" s="3"/>
      <c r="Q105" s="3"/>
      <c r="R105" s="3"/>
    </row>
    <row r="106" spans="1:18" ht="15.75" customHeight="1" x14ac:dyDescent="0.3">
      <c r="A106" s="3"/>
      <c r="F106" s="3"/>
      <c r="G106" s="3"/>
      <c r="H106" s="6"/>
      <c r="I106" s="3"/>
      <c r="J106" s="6"/>
      <c r="K106" s="68"/>
      <c r="L106" s="109"/>
      <c r="M106" s="3"/>
      <c r="N106" s="3"/>
      <c r="O106" s="3"/>
      <c r="P106" s="3"/>
      <c r="Q106" s="3"/>
      <c r="R106" s="3"/>
    </row>
    <row r="107" spans="1:18" ht="15.75" customHeight="1" x14ac:dyDescent="0.3">
      <c r="A107" s="3"/>
      <c r="J107" s="6"/>
      <c r="K107" s="68"/>
      <c r="L107" s="109"/>
      <c r="M107" s="3"/>
      <c r="N107" s="3"/>
      <c r="O107" s="3"/>
      <c r="P107" s="3"/>
      <c r="Q107" s="3"/>
      <c r="R107" s="3"/>
    </row>
    <row r="108" spans="1:18" ht="15.75" customHeight="1" x14ac:dyDescent="0.3">
      <c r="A108" s="3"/>
      <c r="J108" s="6"/>
      <c r="K108" s="68"/>
      <c r="L108" s="109"/>
      <c r="M108" s="3"/>
      <c r="N108" s="3"/>
      <c r="O108" s="3"/>
      <c r="P108" s="3"/>
      <c r="Q108" s="3"/>
      <c r="R108" s="3"/>
    </row>
    <row r="109" spans="1:18" ht="15.75" customHeight="1" x14ac:dyDescent="0.3">
      <c r="A109" s="3"/>
      <c r="J109" s="6"/>
      <c r="K109" s="68"/>
      <c r="L109" s="109"/>
      <c r="M109" s="3"/>
      <c r="N109" s="3"/>
      <c r="O109" s="3"/>
      <c r="P109" s="3"/>
      <c r="Q109" s="3"/>
      <c r="R109" s="3"/>
    </row>
    <row r="110" spans="1:18" ht="15.75" customHeight="1" x14ac:dyDescent="0.3">
      <c r="A110" s="3"/>
      <c r="J110" s="6"/>
      <c r="K110" s="68"/>
      <c r="L110" s="109"/>
      <c r="M110" s="3"/>
      <c r="N110" s="3"/>
      <c r="O110" s="3"/>
      <c r="P110" s="3"/>
      <c r="Q110" s="3"/>
      <c r="R110" s="3"/>
    </row>
    <row r="111" spans="1:18" ht="15.75" customHeight="1" x14ac:dyDescent="0.3">
      <c r="A111" s="3"/>
      <c r="J111" s="6"/>
      <c r="K111" s="68"/>
      <c r="L111" s="109"/>
      <c r="M111" s="3"/>
      <c r="N111" s="3"/>
      <c r="O111" s="3"/>
      <c r="P111" s="3"/>
      <c r="Q111" s="3"/>
      <c r="R111" s="3"/>
    </row>
    <row r="112" spans="1:18" ht="15.75" customHeight="1" x14ac:dyDescent="0.3">
      <c r="A112" s="3"/>
      <c r="J112" s="6"/>
      <c r="K112" s="68"/>
      <c r="L112" s="109"/>
      <c r="M112" s="3"/>
      <c r="N112" s="3"/>
      <c r="O112" s="3"/>
      <c r="P112" s="3"/>
      <c r="Q112" s="3"/>
      <c r="R112" s="3"/>
    </row>
    <row r="113" spans="1:18" ht="15.75" customHeight="1" x14ac:dyDescent="0.3">
      <c r="A113" s="3"/>
      <c r="J113" s="6"/>
      <c r="K113" s="68"/>
      <c r="L113" s="109"/>
      <c r="M113" s="3"/>
      <c r="N113" s="3"/>
      <c r="O113" s="3"/>
      <c r="P113" s="3"/>
      <c r="Q113" s="3"/>
      <c r="R113" s="3"/>
    </row>
    <row r="114" spans="1:18" ht="15.75" customHeight="1" x14ac:dyDescent="0.3">
      <c r="A114" s="3"/>
      <c r="J114" s="6"/>
      <c r="K114" s="68"/>
      <c r="L114" s="109"/>
      <c r="M114" s="3"/>
      <c r="N114" s="3"/>
      <c r="O114" s="3"/>
      <c r="P114" s="3"/>
      <c r="Q114" s="3"/>
      <c r="R114" s="3"/>
    </row>
    <row r="115" spans="1:18" ht="15.75" customHeight="1" x14ac:dyDescent="0.3">
      <c r="A115" s="3"/>
      <c r="J115" s="6"/>
      <c r="K115" s="68"/>
      <c r="L115" s="109"/>
      <c r="M115" s="3"/>
      <c r="N115" s="3"/>
      <c r="O115" s="3"/>
      <c r="P115" s="3"/>
      <c r="Q115" s="3"/>
      <c r="R115" s="3"/>
    </row>
    <row r="116" spans="1:18" ht="15.75" customHeight="1" x14ac:dyDescent="0.3">
      <c r="A116" s="3"/>
      <c r="J116" s="6"/>
      <c r="K116" s="68"/>
      <c r="L116" s="109"/>
      <c r="M116" s="3"/>
      <c r="N116" s="3"/>
      <c r="O116" s="3"/>
      <c r="P116" s="3"/>
      <c r="Q116" s="3"/>
      <c r="R116" s="3"/>
    </row>
    <row r="117" spans="1:18" ht="15.75" customHeight="1" x14ac:dyDescent="0.3">
      <c r="A117" s="3"/>
      <c r="J117" s="6"/>
      <c r="K117" s="68"/>
      <c r="L117" s="109"/>
      <c r="M117" s="3"/>
      <c r="N117" s="3"/>
      <c r="O117" s="3"/>
      <c r="P117" s="3"/>
      <c r="Q117" s="3"/>
      <c r="R117" s="3"/>
    </row>
    <row r="118" spans="1:18" ht="15.75" customHeight="1" x14ac:dyDescent="0.3">
      <c r="A118" s="3"/>
      <c r="J118" s="6"/>
      <c r="K118" s="68"/>
      <c r="L118" s="109"/>
      <c r="M118" s="3"/>
      <c r="N118" s="3"/>
      <c r="O118" s="3"/>
      <c r="P118" s="3"/>
      <c r="Q118" s="3"/>
      <c r="R118" s="3"/>
    </row>
    <row r="119" spans="1:18" ht="15.75" customHeight="1" x14ac:dyDescent="0.3">
      <c r="A119" s="3"/>
      <c r="J119" s="6"/>
      <c r="K119" s="68"/>
      <c r="L119" s="109"/>
      <c r="M119" s="3"/>
      <c r="N119" s="3"/>
      <c r="O119" s="3"/>
      <c r="P119" s="3"/>
      <c r="Q119" s="3"/>
      <c r="R119" s="3"/>
    </row>
    <row r="120" spans="1:18" ht="15.75" customHeight="1" x14ac:dyDescent="0.3">
      <c r="A120" s="3"/>
      <c r="J120" s="6"/>
      <c r="K120" s="68"/>
      <c r="L120" s="109"/>
      <c r="M120" s="3"/>
      <c r="N120" s="3"/>
      <c r="O120" s="3"/>
      <c r="P120" s="3"/>
      <c r="Q120" s="3"/>
      <c r="R120" s="3"/>
    </row>
    <row r="121" spans="1:18" ht="15.75" customHeight="1" x14ac:dyDescent="0.3">
      <c r="A121" s="3"/>
      <c r="J121" s="6"/>
      <c r="K121" s="68"/>
      <c r="L121" s="109"/>
      <c r="M121" s="3"/>
      <c r="N121" s="3"/>
      <c r="O121" s="3"/>
      <c r="P121" s="3"/>
      <c r="Q121" s="3"/>
      <c r="R121" s="3"/>
    </row>
    <row r="122" spans="1:18" ht="15.75" customHeight="1" x14ac:dyDescent="0.3">
      <c r="A122" s="3"/>
      <c r="J122" s="6"/>
      <c r="K122" s="68"/>
      <c r="L122" s="109"/>
      <c r="M122" s="3"/>
      <c r="N122" s="3"/>
      <c r="O122" s="3"/>
      <c r="P122" s="3"/>
      <c r="Q122" s="3"/>
      <c r="R122" s="3"/>
    </row>
    <row r="123" spans="1:18" ht="15.75" customHeight="1" x14ac:dyDescent="0.3">
      <c r="A123" s="3"/>
      <c r="J123" s="6"/>
      <c r="K123" s="68"/>
      <c r="L123" s="109"/>
      <c r="M123" s="3"/>
      <c r="N123" s="3"/>
      <c r="O123" s="3"/>
      <c r="P123" s="3"/>
      <c r="Q123" s="3"/>
      <c r="R123" s="3"/>
    </row>
    <row r="124" spans="1:18" ht="15.75" customHeight="1" x14ac:dyDescent="0.3">
      <c r="A124" s="3"/>
      <c r="J124" s="6"/>
      <c r="K124" s="68"/>
      <c r="L124" s="109"/>
      <c r="M124" s="3"/>
      <c r="N124" s="3"/>
      <c r="O124" s="3"/>
      <c r="P124" s="3"/>
      <c r="Q124" s="3"/>
      <c r="R124" s="3"/>
    </row>
    <row r="125" spans="1:18" ht="15.75" customHeight="1" x14ac:dyDescent="0.3">
      <c r="A125" s="3"/>
      <c r="J125" s="6"/>
      <c r="K125" s="7"/>
      <c r="L125" s="8"/>
      <c r="M125" s="3"/>
      <c r="N125" s="3"/>
      <c r="O125" s="3"/>
      <c r="P125" s="3"/>
      <c r="Q125" s="3"/>
      <c r="R125" s="3"/>
    </row>
    <row r="126" spans="1:18" ht="15.75" customHeight="1" x14ac:dyDescent="0.3">
      <c r="A126" s="3"/>
      <c r="J126" s="6"/>
      <c r="K126" s="7"/>
      <c r="L126" s="8"/>
      <c r="M126" s="3"/>
      <c r="N126" s="3"/>
      <c r="O126" s="3"/>
      <c r="P126" s="3"/>
      <c r="Q126" s="3"/>
      <c r="R126" s="3"/>
    </row>
    <row r="127" spans="1:18" ht="15.75" customHeight="1" x14ac:dyDescent="0.3">
      <c r="A127" s="3"/>
      <c r="J127" s="6"/>
      <c r="K127" s="7"/>
      <c r="L127" s="8"/>
      <c r="M127" s="3"/>
      <c r="N127" s="3"/>
      <c r="O127" s="3"/>
      <c r="P127" s="3"/>
      <c r="Q127" s="3"/>
      <c r="R127" s="3"/>
    </row>
    <row r="128" spans="1:18" ht="15.75" customHeight="1" x14ac:dyDescent="0.3">
      <c r="A128" s="3"/>
      <c r="J128" s="6"/>
      <c r="K128" s="7"/>
      <c r="L128" s="8"/>
      <c r="M128" s="3"/>
      <c r="N128" s="3"/>
      <c r="O128" s="3"/>
      <c r="P128" s="3"/>
      <c r="Q128" s="3"/>
      <c r="R128" s="3"/>
    </row>
    <row r="129" spans="1:18" ht="15.75" customHeight="1" x14ac:dyDescent="0.3">
      <c r="A129" s="3"/>
      <c r="J129" s="6"/>
      <c r="K129" s="7"/>
      <c r="L129" s="8"/>
      <c r="M129" s="3"/>
      <c r="N129" s="3"/>
      <c r="O129" s="3"/>
      <c r="P129" s="3"/>
      <c r="Q129" s="3"/>
      <c r="R129" s="3"/>
    </row>
    <row r="130" spans="1:18" ht="15.75" customHeight="1" x14ac:dyDescent="0.3">
      <c r="A130" s="3"/>
      <c r="J130" s="6"/>
      <c r="K130" s="7"/>
      <c r="L130" s="8"/>
      <c r="M130" s="3"/>
      <c r="N130" s="3"/>
      <c r="O130" s="3"/>
      <c r="P130" s="3"/>
      <c r="Q130" s="3"/>
      <c r="R130" s="3"/>
    </row>
    <row r="131" spans="1:18" ht="15.75" customHeight="1" x14ac:dyDescent="0.3">
      <c r="A131" s="3"/>
      <c r="J131" s="6"/>
      <c r="K131" s="7"/>
      <c r="L131" s="8"/>
      <c r="M131" s="3"/>
      <c r="N131" s="3"/>
      <c r="O131" s="3"/>
      <c r="P131" s="3"/>
      <c r="Q131" s="3"/>
      <c r="R131" s="3"/>
    </row>
    <row r="132" spans="1:18" ht="15.75" customHeight="1" x14ac:dyDescent="0.3">
      <c r="A132" s="3"/>
      <c r="J132" s="6"/>
      <c r="K132" s="7"/>
      <c r="L132" s="8"/>
      <c r="M132" s="3"/>
      <c r="N132" s="3"/>
      <c r="O132" s="3"/>
      <c r="P132" s="3"/>
      <c r="Q132" s="3"/>
      <c r="R132" s="3"/>
    </row>
    <row r="133" spans="1:18" ht="15.75" customHeight="1" x14ac:dyDescent="0.3">
      <c r="A133" s="3"/>
      <c r="J133" s="6"/>
      <c r="K133" s="7"/>
      <c r="L133" s="8"/>
      <c r="M133" s="3"/>
      <c r="N133" s="3"/>
      <c r="O133" s="3"/>
      <c r="P133" s="3"/>
      <c r="Q133" s="3"/>
      <c r="R133" s="3"/>
    </row>
    <row r="134" spans="1:18" ht="15.75" customHeight="1" x14ac:dyDescent="0.3">
      <c r="A134" s="3"/>
      <c r="J134" s="6"/>
      <c r="K134" s="7"/>
      <c r="L134" s="8"/>
      <c r="M134" s="3"/>
      <c r="N134" s="3"/>
      <c r="O134" s="3"/>
      <c r="P134" s="3"/>
      <c r="Q134" s="3"/>
      <c r="R134" s="3"/>
    </row>
    <row r="135" spans="1:18" ht="15.75" customHeight="1" x14ac:dyDescent="0.3">
      <c r="A135" s="3"/>
      <c r="J135" s="6"/>
      <c r="K135" s="7"/>
      <c r="L135" s="8"/>
      <c r="M135" s="3"/>
      <c r="N135" s="3"/>
      <c r="O135" s="3"/>
      <c r="P135" s="3"/>
      <c r="Q135" s="3"/>
      <c r="R135" s="3"/>
    </row>
    <row r="136" spans="1:18" ht="15.75" customHeight="1" x14ac:dyDescent="0.3">
      <c r="A136" s="3"/>
      <c r="J136" s="6"/>
      <c r="K136" s="7"/>
      <c r="L136" s="8"/>
      <c r="M136" s="3"/>
      <c r="N136" s="3"/>
      <c r="O136" s="3"/>
      <c r="P136" s="3"/>
      <c r="Q136" s="3"/>
      <c r="R136" s="3"/>
    </row>
    <row r="137" spans="1:18" ht="15.75" customHeight="1" x14ac:dyDescent="0.3">
      <c r="A137" s="3"/>
      <c r="J137" s="6"/>
      <c r="K137" s="7"/>
      <c r="L137" s="8"/>
      <c r="M137" s="3"/>
      <c r="N137" s="3"/>
      <c r="O137" s="3"/>
      <c r="P137" s="3"/>
      <c r="Q137" s="3"/>
      <c r="R137" s="3"/>
    </row>
    <row r="138" spans="1:18" ht="15.75" customHeight="1" x14ac:dyDescent="0.3">
      <c r="A138" s="3"/>
      <c r="J138" s="6"/>
      <c r="K138" s="7"/>
      <c r="L138" s="8"/>
      <c r="M138" s="3"/>
      <c r="N138" s="3"/>
      <c r="O138" s="3"/>
      <c r="P138" s="3"/>
      <c r="Q138" s="3"/>
      <c r="R138" s="3"/>
    </row>
    <row r="139" spans="1:18" ht="15.75" customHeight="1" x14ac:dyDescent="0.3">
      <c r="A139" s="3"/>
      <c r="J139" s="6"/>
      <c r="K139" s="7"/>
      <c r="L139" s="8"/>
      <c r="M139" s="3"/>
      <c r="N139" s="3"/>
      <c r="O139" s="3"/>
      <c r="P139" s="3"/>
      <c r="Q139" s="3"/>
      <c r="R139" s="3"/>
    </row>
    <row r="140" spans="1:18" ht="15.75" customHeight="1" x14ac:dyDescent="0.3">
      <c r="A140" s="3"/>
      <c r="J140" s="6"/>
      <c r="K140" s="7"/>
      <c r="L140" s="8"/>
      <c r="M140" s="3"/>
      <c r="N140" s="3"/>
      <c r="O140" s="3"/>
      <c r="P140" s="3"/>
      <c r="Q140" s="3"/>
      <c r="R140" s="3"/>
    </row>
    <row r="141" spans="1:18" ht="15.75" customHeight="1" x14ac:dyDescent="0.3">
      <c r="A141" s="3"/>
      <c r="J141" s="6"/>
      <c r="K141" s="7"/>
      <c r="L141" s="8"/>
      <c r="M141" s="3"/>
      <c r="N141" s="3"/>
      <c r="O141" s="3"/>
      <c r="P141" s="3"/>
      <c r="Q141" s="3"/>
      <c r="R141" s="3"/>
    </row>
    <row r="142" spans="1:18" ht="15.75" customHeight="1" x14ac:dyDescent="0.3">
      <c r="A142" s="3"/>
      <c r="J142" s="6"/>
      <c r="K142" s="7"/>
      <c r="L142" s="8"/>
      <c r="M142" s="3"/>
      <c r="N142" s="3"/>
      <c r="O142" s="3"/>
      <c r="P142" s="3"/>
      <c r="Q142" s="3"/>
      <c r="R142" s="3"/>
    </row>
    <row r="143" spans="1:18" ht="15.75" customHeight="1" x14ac:dyDescent="0.3">
      <c r="A143" s="3"/>
      <c r="J143" s="6"/>
      <c r="K143" s="7"/>
      <c r="L143" s="8"/>
      <c r="M143" s="3"/>
      <c r="N143" s="3"/>
      <c r="O143" s="3"/>
      <c r="P143" s="3"/>
      <c r="Q143" s="3"/>
      <c r="R143" s="3"/>
    </row>
    <row r="144" spans="1:18" ht="15.75" customHeight="1" x14ac:dyDescent="0.3">
      <c r="A144" s="3"/>
      <c r="J144" s="6"/>
      <c r="K144" s="7"/>
      <c r="L144" s="8"/>
      <c r="M144" s="3"/>
      <c r="N144" s="3"/>
      <c r="O144" s="3"/>
      <c r="P144" s="3"/>
      <c r="Q144" s="3"/>
      <c r="R144" s="3"/>
    </row>
    <row r="145" spans="1:18" ht="15.75" customHeight="1" x14ac:dyDescent="0.3">
      <c r="A145" s="3"/>
      <c r="J145" s="6"/>
      <c r="K145" s="7"/>
      <c r="L145" s="8"/>
      <c r="M145" s="3"/>
      <c r="N145" s="3"/>
      <c r="O145" s="3"/>
      <c r="P145" s="3"/>
      <c r="Q145" s="3"/>
      <c r="R145" s="3"/>
    </row>
    <row r="146" spans="1:18" ht="15.75" customHeight="1" x14ac:dyDescent="0.3">
      <c r="A146" s="3"/>
      <c r="J146" s="6"/>
      <c r="K146" s="7"/>
      <c r="L146" s="8"/>
      <c r="M146" s="3"/>
      <c r="N146" s="3"/>
      <c r="O146" s="3"/>
      <c r="P146" s="3"/>
      <c r="Q146" s="3"/>
      <c r="R146" s="3"/>
    </row>
    <row r="147" spans="1:18" ht="15.75" customHeight="1" x14ac:dyDescent="0.3">
      <c r="A147" s="3"/>
      <c r="J147" s="6"/>
      <c r="K147" s="7"/>
      <c r="L147" s="8"/>
      <c r="M147" s="3"/>
      <c r="N147" s="3"/>
      <c r="O147" s="3"/>
      <c r="P147" s="3"/>
      <c r="Q147" s="3"/>
      <c r="R147" s="3"/>
    </row>
    <row r="148" spans="1:18" ht="15.75" customHeight="1" x14ac:dyDescent="0.3">
      <c r="A148" s="3"/>
      <c r="J148" s="6"/>
      <c r="K148" s="7"/>
      <c r="L148" s="8"/>
      <c r="M148" s="3"/>
      <c r="N148" s="3"/>
      <c r="O148" s="3"/>
      <c r="P148" s="3"/>
      <c r="Q148" s="3"/>
      <c r="R148" s="3"/>
    </row>
    <row r="149" spans="1:18" ht="15.75" customHeight="1" x14ac:dyDescent="0.3">
      <c r="A149" s="3"/>
      <c r="J149" s="6"/>
      <c r="K149" s="7"/>
      <c r="L149" s="8"/>
      <c r="M149" s="3"/>
      <c r="N149" s="3"/>
      <c r="O149" s="3"/>
      <c r="P149" s="3"/>
      <c r="Q149" s="3"/>
      <c r="R149" s="3"/>
    </row>
    <row r="150" spans="1:18" ht="15.75" customHeight="1" x14ac:dyDescent="0.3">
      <c r="A150" s="3"/>
      <c r="J150" s="6"/>
      <c r="K150" s="7"/>
      <c r="L150" s="8"/>
      <c r="M150" s="3"/>
      <c r="N150" s="3"/>
      <c r="O150" s="3"/>
      <c r="P150" s="3"/>
      <c r="Q150" s="3"/>
      <c r="R150" s="3"/>
    </row>
    <row r="151" spans="1:18" ht="15.75" customHeight="1" x14ac:dyDescent="0.3">
      <c r="A151" s="3"/>
      <c r="J151" s="6"/>
      <c r="K151" s="7"/>
      <c r="L151" s="8"/>
      <c r="M151" s="3"/>
      <c r="N151" s="3"/>
      <c r="O151" s="3"/>
      <c r="P151" s="3"/>
      <c r="Q151" s="3"/>
      <c r="R151" s="3"/>
    </row>
    <row r="152" spans="1:18" ht="15.75" customHeight="1" x14ac:dyDescent="0.3">
      <c r="A152" s="3"/>
      <c r="J152" s="6"/>
      <c r="K152" s="7"/>
      <c r="L152" s="8"/>
      <c r="M152" s="3"/>
      <c r="N152" s="3"/>
      <c r="O152" s="3"/>
      <c r="P152" s="3"/>
      <c r="Q152" s="3"/>
      <c r="R152" s="3"/>
    </row>
    <row r="153" spans="1:18" ht="15.75" customHeight="1" x14ac:dyDescent="0.3">
      <c r="A153" s="3"/>
      <c r="J153" s="6"/>
      <c r="K153" s="7"/>
      <c r="L153" s="8"/>
      <c r="M153" s="3"/>
      <c r="N153" s="3"/>
      <c r="O153" s="3"/>
      <c r="P153" s="3"/>
      <c r="Q153" s="3"/>
      <c r="R153" s="3"/>
    </row>
    <row r="154" spans="1:18" ht="15.75" customHeight="1" x14ac:dyDescent="0.3">
      <c r="A154" s="3"/>
      <c r="J154" s="6"/>
      <c r="K154" s="7"/>
      <c r="L154" s="8"/>
      <c r="M154" s="3"/>
      <c r="N154" s="3"/>
      <c r="O154" s="3"/>
      <c r="P154" s="3"/>
      <c r="Q154" s="3"/>
      <c r="R154" s="3"/>
    </row>
    <row r="155" spans="1:18" ht="15.75" customHeight="1" x14ac:dyDescent="0.3">
      <c r="A155" s="3"/>
      <c r="J155" s="6"/>
      <c r="K155" s="7"/>
      <c r="L155" s="8"/>
      <c r="M155" s="3"/>
      <c r="N155" s="3"/>
      <c r="O155" s="3"/>
      <c r="P155" s="3"/>
      <c r="Q155" s="3"/>
      <c r="R155" s="3"/>
    </row>
    <row r="156" spans="1:18" ht="15.75" customHeight="1" x14ac:dyDescent="0.3">
      <c r="A156" s="3"/>
      <c r="J156" s="6"/>
      <c r="K156" s="7"/>
      <c r="L156" s="8"/>
      <c r="M156" s="3"/>
      <c r="N156" s="3"/>
      <c r="O156" s="3"/>
      <c r="P156" s="3"/>
      <c r="Q156" s="3"/>
      <c r="R156" s="3"/>
    </row>
    <row r="157" spans="1:18" ht="15.75" customHeight="1" x14ac:dyDescent="0.3">
      <c r="A157" s="3"/>
      <c r="J157" s="6"/>
      <c r="K157" s="7"/>
      <c r="L157" s="8"/>
      <c r="M157" s="3"/>
      <c r="N157" s="3"/>
      <c r="O157" s="3"/>
      <c r="P157" s="3"/>
      <c r="Q157" s="3"/>
      <c r="R157" s="3"/>
    </row>
    <row r="158" spans="1:18" ht="15.75" customHeight="1" x14ac:dyDescent="0.3">
      <c r="A158" s="3"/>
      <c r="J158" s="6"/>
      <c r="K158" s="7"/>
      <c r="L158" s="8"/>
      <c r="M158" s="3"/>
      <c r="N158" s="3"/>
      <c r="O158" s="3"/>
      <c r="P158" s="3"/>
      <c r="Q158" s="3"/>
      <c r="R158" s="3"/>
    </row>
    <row r="159" spans="1:18" ht="15.75" customHeight="1" x14ac:dyDescent="0.3">
      <c r="A159" s="3"/>
      <c r="J159" s="6"/>
      <c r="K159" s="7"/>
      <c r="L159" s="8"/>
      <c r="M159" s="3"/>
      <c r="N159" s="3"/>
      <c r="O159" s="3"/>
      <c r="P159" s="3"/>
      <c r="Q159" s="3"/>
      <c r="R159" s="3"/>
    </row>
    <row r="160" spans="1:18" ht="15.75" customHeight="1" x14ac:dyDescent="0.3">
      <c r="A160" s="3"/>
      <c r="J160" s="6"/>
      <c r="K160" s="7"/>
      <c r="L160" s="8"/>
      <c r="M160" s="3"/>
      <c r="N160" s="3"/>
      <c r="O160" s="3"/>
      <c r="P160" s="3"/>
      <c r="Q160" s="3"/>
      <c r="R160" s="3"/>
    </row>
    <row r="161" spans="1:18" ht="15.75" customHeight="1" x14ac:dyDescent="0.3">
      <c r="A161" s="3"/>
      <c r="J161" s="6"/>
      <c r="K161" s="7"/>
      <c r="L161" s="8"/>
      <c r="M161" s="3"/>
      <c r="N161" s="3"/>
      <c r="O161" s="3"/>
      <c r="P161" s="3"/>
      <c r="Q161" s="3"/>
      <c r="R161" s="3"/>
    </row>
    <row r="162" spans="1:18" ht="15.75" customHeight="1" x14ac:dyDescent="0.3">
      <c r="A162" s="3"/>
      <c r="J162" s="6"/>
      <c r="K162" s="7"/>
      <c r="L162" s="8"/>
      <c r="M162" s="3"/>
      <c r="N162" s="3"/>
      <c r="O162" s="3"/>
      <c r="P162" s="3"/>
      <c r="Q162" s="3"/>
      <c r="R162" s="3"/>
    </row>
    <row r="163" spans="1:18" ht="15.75" customHeight="1" x14ac:dyDescent="0.3">
      <c r="A163" s="3"/>
      <c r="J163" s="6"/>
      <c r="K163" s="7"/>
      <c r="L163" s="8"/>
      <c r="M163" s="3"/>
      <c r="N163" s="3"/>
      <c r="O163" s="3"/>
      <c r="P163" s="3"/>
      <c r="Q163" s="3"/>
      <c r="R163" s="3"/>
    </row>
    <row r="164" spans="1:18" ht="15.75" customHeight="1" x14ac:dyDescent="0.3">
      <c r="A164" s="3"/>
      <c r="J164" s="6"/>
      <c r="K164" s="7"/>
      <c r="L164" s="8"/>
      <c r="M164" s="3"/>
      <c r="N164" s="3"/>
      <c r="O164" s="3"/>
      <c r="P164" s="3"/>
      <c r="Q164" s="3"/>
      <c r="R164" s="3"/>
    </row>
    <row r="165" spans="1:18" ht="15.75" customHeight="1" x14ac:dyDescent="0.3">
      <c r="A165" s="3"/>
      <c r="J165" s="6"/>
      <c r="K165" s="7"/>
      <c r="L165" s="8"/>
      <c r="M165" s="3"/>
      <c r="N165" s="3"/>
      <c r="O165" s="3"/>
      <c r="P165" s="3"/>
      <c r="Q165" s="3"/>
      <c r="R165" s="3"/>
    </row>
    <row r="166" spans="1:18" ht="15.75" customHeight="1" x14ac:dyDescent="0.3">
      <c r="A166" s="3"/>
      <c r="J166" s="6"/>
      <c r="K166" s="7"/>
      <c r="L166" s="8"/>
      <c r="M166" s="3"/>
      <c r="N166" s="3"/>
      <c r="O166" s="3"/>
      <c r="P166" s="3"/>
      <c r="Q166" s="3"/>
      <c r="R166" s="3"/>
    </row>
    <row r="167" spans="1:18" ht="15.75" customHeight="1" x14ac:dyDescent="0.3">
      <c r="A167" s="3"/>
      <c r="J167" s="6"/>
      <c r="K167" s="7"/>
      <c r="L167" s="8"/>
      <c r="M167" s="3"/>
      <c r="N167" s="3"/>
      <c r="O167" s="3"/>
      <c r="P167" s="3"/>
      <c r="Q167" s="3"/>
      <c r="R167" s="3"/>
    </row>
    <row r="168" spans="1:18" ht="15.75" customHeight="1" x14ac:dyDescent="0.3">
      <c r="A168" s="3"/>
      <c r="J168" s="6"/>
      <c r="K168" s="7"/>
      <c r="L168" s="8"/>
      <c r="M168" s="3"/>
      <c r="N168" s="3"/>
      <c r="O168" s="3"/>
      <c r="P168" s="3"/>
      <c r="Q168" s="3"/>
      <c r="R168" s="3"/>
    </row>
    <row r="169" spans="1:18" ht="15.75" customHeight="1" x14ac:dyDescent="0.3">
      <c r="A169" s="3"/>
      <c r="J169" s="6"/>
      <c r="K169" s="7"/>
      <c r="L169" s="8"/>
      <c r="M169" s="3"/>
      <c r="N169" s="3"/>
      <c r="O169" s="3"/>
      <c r="P169" s="3"/>
      <c r="Q169" s="3"/>
      <c r="R169" s="3"/>
    </row>
    <row r="170" spans="1:18" ht="15.75" customHeight="1" x14ac:dyDescent="0.3">
      <c r="A170" s="3"/>
      <c r="J170" s="6"/>
      <c r="K170" s="7"/>
      <c r="L170" s="8"/>
      <c r="M170" s="3"/>
      <c r="N170" s="3"/>
      <c r="O170" s="3"/>
      <c r="P170" s="3"/>
      <c r="Q170" s="3"/>
      <c r="R170" s="3"/>
    </row>
    <row r="171" spans="1:18" ht="15.75" customHeight="1" x14ac:dyDescent="0.3">
      <c r="A171" s="3"/>
      <c r="J171" s="6"/>
      <c r="K171" s="7"/>
      <c r="L171" s="8"/>
      <c r="M171" s="3"/>
      <c r="N171" s="3"/>
      <c r="O171" s="3"/>
      <c r="P171" s="3"/>
      <c r="Q171" s="3"/>
      <c r="R171" s="3"/>
    </row>
    <row r="172" spans="1:18" ht="15.75" customHeight="1" x14ac:dyDescent="0.3">
      <c r="A172" s="3"/>
      <c r="J172" s="6"/>
      <c r="K172" s="7"/>
      <c r="L172" s="8"/>
      <c r="M172" s="3"/>
      <c r="N172" s="3"/>
      <c r="O172" s="3"/>
      <c r="P172" s="3"/>
      <c r="Q172" s="3"/>
      <c r="R172" s="3"/>
    </row>
    <row r="173" spans="1:18" ht="15.75" customHeight="1" x14ac:dyDescent="0.3">
      <c r="A173" s="3"/>
      <c r="J173" s="6"/>
      <c r="K173" s="7"/>
      <c r="L173" s="8"/>
      <c r="M173" s="3"/>
      <c r="N173" s="3"/>
      <c r="O173" s="3"/>
      <c r="P173" s="3"/>
      <c r="Q173" s="3"/>
      <c r="R173" s="3"/>
    </row>
    <row r="174" spans="1:18" ht="15.75" customHeight="1" x14ac:dyDescent="0.3">
      <c r="A174" s="3"/>
      <c r="J174" s="6"/>
      <c r="K174" s="7"/>
      <c r="L174" s="8"/>
      <c r="M174" s="3"/>
      <c r="N174" s="3"/>
      <c r="O174" s="3"/>
      <c r="P174" s="3"/>
      <c r="Q174" s="3"/>
      <c r="R174" s="3"/>
    </row>
    <row r="175" spans="1:18" ht="15.75" customHeight="1" x14ac:dyDescent="0.3">
      <c r="A175" s="3"/>
      <c r="J175" s="6"/>
      <c r="K175" s="7"/>
      <c r="L175" s="8"/>
      <c r="M175" s="3"/>
      <c r="N175" s="3"/>
      <c r="O175" s="3"/>
      <c r="P175" s="3"/>
      <c r="Q175" s="3"/>
      <c r="R175" s="3"/>
    </row>
    <row r="176" spans="1:18" ht="15.75" customHeight="1" x14ac:dyDescent="0.3">
      <c r="A176" s="3"/>
      <c r="J176" s="6"/>
      <c r="K176" s="7"/>
      <c r="L176" s="8"/>
      <c r="M176" s="3"/>
      <c r="N176" s="3"/>
      <c r="O176" s="3"/>
      <c r="P176" s="3"/>
      <c r="Q176" s="3"/>
      <c r="R176" s="3"/>
    </row>
    <row r="177" spans="1:18" ht="15.75" customHeight="1" x14ac:dyDescent="0.3">
      <c r="A177" s="3"/>
      <c r="J177" s="6"/>
      <c r="K177" s="7"/>
      <c r="L177" s="8"/>
      <c r="M177" s="3"/>
      <c r="N177" s="3"/>
      <c r="O177" s="3"/>
      <c r="P177" s="3"/>
      <c r="Q177" s="3"/>
      <c r="R177" s="3"/>
    </row>
    <row r="178" spans="1:18" ht="15.75" customHeight="1" x14ac:dyDescent="0.3">
      <c r="A178" s="3"/>
      <c r="J178" s="6"/>
      <c r="K178" s="7"/>
      <c r="L178" s="8"/>
      <c r="M178" s="3"/>
      <c r="N178" s="3"/>
      <c r="O178" s="3"/>
      <c r="P178" s="3"/>
      <c r="Q178" s="3"/>
      <c r="R178" s="3"/>
    </row>
    <row r="179" spans="1:18" ht="15.75" customHeight="1" x14ac:dyDescent="0.3">
      <c r="A179" s="3"/>
      <c r="J179" s="6"/>
      <c r="K179" s="7"/>
      <c r="L179" s="8"/>
      <c r="M179" s="3"/>
      <c r="N179" s="3"/>
      <c r="O179" s="3"/>
      <c r="P179" s="3"/>
      <c r="Q179" s="3"/>
      <c r="R179" s="3"/>
    </row>
    <row r="180" spans="1:18" ht="15.75" customHeight="1" x14ac:dyDescent="0.3">
      <c r="A180" s="3"/>
      <c r="J180" s="6"/>
      <c r="K180" s="7"/>
      <c r="L180" s="8"/>
      <c r="M180" s="3"/>
      <c r="N180" s="3"/>
      <c r="O180" s="3"/>
      <c r="P180" s="3"/>
      <c r="Q180" s="3"/>
      <c r="R180" s="3"/>
    </row>
    <row r="181" spans="1:18" ht="15.75" customHeight="1" x14ac:dyDescent="0.3">
      <c r="A181" s="3"/>
      <c r="J181" s="6"/>
      <c r="K181" s="7"/>
      <c r="L181" s="8"/>
      <c r="M181" s="3"/>
      <c r="N181" s="3"/>
      <c r="O181" s="3"/>
      <c r="P181" s="3"/>
      <c r="Q181" s="3"/>
      <c r="R181" s="3"/>
    </row>
    <row r="182" spans="1:18" ht="15.75" customHeight="1" x14ac:dyDescent="0.3">
      <c r="A182" s="3"/>
      <c r="J182" s="6"/>
      <c r="K182" s="7"/>
      <c r="L182" s="8"/>
      <c r="M182" s="3"/>
      <c r="N182" s="3"/>
      <c r="O182" s="3"/>
      <c r="P182" s="3"/>
      <c r="Q182" s="3"/>
      <c r="R182" s="3"/>
    </row>
    <row r="183" spans="1:18" ht="15.75" customHeight="1" x14ac:dyDescent="0.3">
      <c r="A183" s="3"/>
      <c r="J183" s="6"/>
      <c r="K183" s="7"/>
      <c r="L183" s="8"/>
      <c r="M183" s="3"/>
      <c r="N183" s="3"/>
      <c r="O183" s="3"/>
      <c r="P183" s="3"/>
      <c r="Q183" s="3"/>
      <c r="R183" s="3"/>
    </row>
    <row r="184" spans="1:18" ht="15.75" customHeight="1" x14ac:dyDescent="0.3">
      <c r="A184" s="3"/>
      <c r="J184" s="6"/>
      <c r="K184" s="7"/>
      <c r="L184" s="8"/>
      <c r="M184" s="3"/>
      <c r="N184" s="3"/>
      <c r="O184" s="3"/>
      <c r="P184" s="3"/>
      <c r="Q184" s="3"/>
      <c r="R184" s="3"/>
    </row>
    <row r="185" spans="1:18" ht="15.75" customHeight="1" x14ac:dyDescent="0.3">
      <c r="A185" s="3"/>
      <c r="J185" s="6"/>
      <c r="K185" s="7"/>
      <c r="L185" s="8"/>
      <c r="M185" s="3"/>
      <c r="N185" s="3"/>
      <c r="O185" s="3"/>
      <c r="P185" s="3"/>
      <c r="Q185" s="3"/>
      <c r="R185" s="3"/>
    </row>
    <row r="186" spans="1:18" ht="15.75" customHeight="1" x14ac:dyDescent="0.3">
      <c r="A186" s="3"/>
      <c r="J186" s="6"/>
      <c r="K186" s="7"/>
      <c r="L186" s="8"/>
      <c r="M186" s="3"/>
      <c r="N186" s="3"/>
      <c r="O186" s="3"/>
      <c r="P186" s="3"/>
      <c r="Q186" s="3"/>
      <c r="R186" s="3"/>
    </row>
    <row r="187" spans="1:18" ht="15.75" customHeight="1" x14ac:dyDescent="0.3">
      <c r="A187" s="3"/>
      <c r="J187" s="6"/>
      <c r="K187" s="7"/>
      <c r="L187" s="8"/>
      <c r="M187" s="3"/>
      <c r="N187" s="3"/>
      <c r="O187" s="3"/>
      <c r="P187" s="3"/>
      <c r="Q187" s="3"/>
      <c r="R187" s="3"/>
    </row>
    <row r="188" spans="1:18" ht="15.75" customHeight="1" x14ac:dyDescent="0.3">
      <c r="A188" s="3"/>
      <c r="J188" s="6"/>
      <c r="K188" s="7"/>
      <c r="L188" s="8"/>
      <c r="M188" s="3"/>
      <c r="N188" s="3"/>
      <c r="O188" s="3"/>
      <c r="P188" s="3"/>
      <c r="Q188" s="3"/>
      <c r="R188" s="3"/>
    </row>
    <row r="189" spans="1:18" ht="15.75" customHeight="1" x14ac:dyDescent="0.3">
      <c r="A189" s="3"/>
      <c r="J189" s="6"/>
      <c r="K189" s="7"/>
      <c r="L189" s="8"/>
      <c r="M189" s="3"/>
      <c r="N189" s="3"/>
      <c r="O189" s="3"/>
      <c r="P189" s="3"/>
      <c r="Q189" s="3"/>
      <c r="R189" s="3"/>
    </row>
    <row r="190" spans="1:18" ht="15.75" customHeight="1" x14ac:dyDescent="0.3">
      <c r="A190" s="3"/>
      <c r="J190" s="6"/>
      <c r="K190" s="7"/>
      <c r="L190" s="8"/>
      <c r="M190" s="3"/>
      <c r="N190" s="3"/>
      <c r="O190" s="3"/>
      <c r="P190" s="3"/>
      <c r="Q190" s="3"/>
      <c r="R190" s="3"/>
    </row>
    <row r="191" spans="1:18" ht="15.75" customHeight="1" x14ac:dyDescent="0.3">
      <c r="A191" s="3"/>
      <c r="J191" s="6"/>
      <c r="K191" s="7"/>
      <c r="L191" s="8"/>
      <c r="M191" s="3"/>
      <c r="N191" s="3"/>
      <c r="O191" s="3"/>
      <c r="P191" s="3"/>
      <c r="Q191" s="3"/>
      <c r="R191" s="3"/>
    </row>
    <row r="192" spans="1:18" ht="15.75" customHeight="1" x14ac:dyDescent="0.3">
      <c r="A192" s="3"/>
      <c r="J192" s="6"/>
      <c r="K192" s="7"/>
      <c r="L192" s="8"/>
      <c r="M192" s="3"/>
      <c r="N192" s="3"/>
      <c r="O192" s="3"/>
      <c r="P192" s="3"/>
      <c r="Q192" s="3"/>
      <c r="R192" s="3"/>
    </row>
    <row r="193" spans="1:18" ht="15.75" customHeight="1" x14ac:dyDescent="0.3">
      <c r="A193" s="3"/>
      <c r="J193" s="6"/>
      <c r="K193" s="7"/>
      <c r="L193" s="8"/>
      <c r="M193" s="3"/>
      <c r="N193" s="3"/>
      <c r="O193" s="3"/>
      <c r="P193" s="3"/>
      <c r="Q193" s="3"/>
      <c r="R193" s="3"/>
    </row>
    <row r="194" spans="1:18" ht="15.75" customHeight="1" x14ac:dyDescent="0.3">
      <c r="A194" s="3"/>
      <c r="J194" s="6"/>
      <c r="K194" s="7"/>
      <c r="L194" s="8"/>
      <c r="M194" s="3"/>
      <c r="N194" s="3"/>
      <c r="O194" s="3"/>
      <c r="P194" s="3"/>
      <c r="Q194" s="3"/>
      <c r="R194" s="3"/>
    </row>
    <row r="195" spans="1:18" ht="15.75" customHeight="1" x14ac:dyDescent="0.3">
      <c r="A195" s="3"/>
      <c r="J195" s="6"/>
      <c r="K195" s="7"/>
      <c r="L195" s="8"/>
      <c r="M195" s="3"/>
      <c r="N195" s="3"/>
      <c r="O195" s="3"/>
      <c r="P195" s="3"/>
      <c r="Q195" s="3"/>
      <c r="R195" s="3"/>
    </row>
    <row r="196" spans="1:18" ht="15.75" customHeight="1" x14ac:dyDescent="0.3">
      <c r="A196" s="3"/>
      <c r="J196" s="6"/>
      <c r="K196" s="7"/>
      <c r="L196" s="8"/>
      <c r="M196" s="3"/>
      <c r="N196" s="3"/>
      <c r="O196" s="3"/>
      <c r="P196" s="3"/>
      <c r="Q196" s="3"/>
      <c r="R196" s="3"/>
    </row>
    <row r="197" spans="1:18" ht="15.75" customHeight="1" x14ac:dyDescent="0.3">
      <c r="A197" s="3"/>
      <c r="J197" s="6"/>
      <c r="K197" s="7"/>
      <c r="L197" s="8"/>
      <c r="M197" s="3"/>
      <c r="N197" s="3"/>
      <c r="O197" s="3"/>
      <c r="P197" s="3"/>
      <c r="Q197" s="3"/>
      <c r="R197" s="3"/>
    </row>
    <row r="198" spans="1:18" ht="15.75" customHeight="1" x14ac:dyDescent="0.3">
      <c r="A198" s="3"/>
      <c r="J198" s="6"/>
      <c r="K198" s="7"/>
      <c r="L198" s="8"/>
      <c r="M198" s="3"/>
      <c r="N198" s="3"/>
      <c r="O198" s="3"/>
      <c r="P198" s="3"/>
      <c r="Q198" s="3"/>
      <c r="R198" s="3"/>
    </row>
    <row r="199" spans="1:18" ht="15.75" customHeight="1" x14ac:dyDescent="0.3">
      <c r="A199" s="3"/>
      <c r="J199" s="6"/>
      <c r="K199" s="7"/>
      <c r="L199" s="8"/>
      <c r="M199" s="3"/>
      <c r="N199" s="3"/>
      <c r="O199" s="3"/>
      <c r="P199" s="3"/>
      <c r="Q199" s="3"/>
      <c r="R199" s="3"/>
    </row>
    <row r="200" spans="1:18" ht="15.75" customHeight="1" x14ac:dyDescent="0.3">
      <c r="A200" s="3"/>
      <c r="J200" s="6"/>
      <c r="K200" s="7"/>
      <c r="L200" s="8"/>
      <c r="M200" s="3"/>
      <c r="N200" s="3"/>
      <c r="O200" s="3"/>
      <c r="P200" s="3"/>
      <c r="Q200" s="3"/>
      <c r="R200" s="3"/>
    </row>
    <row r="201" spans="1:18" ht="15.75" customHeight="1" x14ac:dyDescent="0.3">
      <c r="A201" s="3"/>
      <c r="J201" s="6"/>
      <c r="K201" s="7"/>
      <c r="L201" s="8"/>
      <c r="M201" s="3"/>
      <c r="N201" s="3"/>
      <c r="O201" s="3"/>
      <c r="P201" s="3"/>
      <c r="Q201" s="3"/>
      <c r="R201" s="3"/>
    </row>
    <row r="202" spans="1:18" ht="15.75" customHeight="1" x14ac:dyDescent="0.3">
      <c r="A202" s="3"/>
      <c r="J202" s="6"/>
      <c r="K202" s="7"/>
      <c r="L202" s="8"/>
      <c r="M202" s="3"/>
      <c r="N202" s="3"/>
      <c r="O202" s="3"/>
      <c r="P202" s="3"/>
      <c r="Q202" s="3"/>
      <c r="R202" s="3"/>
    </row>
    <row r="203" spans="1:18" ht="15.75" customHeight="1" x14ac:dyDescent="0.3">
      <c r="A203" s="3"/>
      <c r="J203" s="6"/>
      <c r="K203" s="7"/>
      <c r="L203" s="8"/>
      <c r="M203" s="3"/>
      <c r="N203" s="3"/>
      <c r="O203" s="3"/>
      <c r="P203" s="3"/>
      <c r="Q203" s="3"/>
      <c r="R203" s="3"/>
    </row>
    <row r="204" spans="1:18" ht="15.75" customHeight="1" x14ac:dyDescent="0.3">
      <c r="A204" s="3"/>
      <c r="J204" s="6"/>
      <c r="K204" s="7"/>
      <c r="L204" s="8"/>
      <c r="M204" s="3"/>
      <c r="N204" s="3"/>
      <c r="O204" s="3"/>
      <c r="P204" s="3"/>
      <c r="Q204" s="3"/>
      <c r="R204" s="3"/>
    </row>
    <row r="205" spans="1:18" ht="15.75" customHeight="1" x14ac:dyDescent="0.3">
      <c r="A205" s="3"/>
      <c r="J205" s="6"/>
      <c r="K205" s="7"/>
      <c r="L205" s="8"/>
      <c r="M205" s="3"/>
      <c r="N205" s="3"/>
      <c r="O205" s="3"/>
      <c r="P205" s="3"/>
      <c r="Q205" s="3"/>
      <c r="R205" s="3"/>
    </row>
    <row r="206" spans="1:18" ht="15.75" customHeight="1" x14ac:dyDescent="0.3">
      <c r="A206" s="3"/>
      <c r="J206" s="6"/>
      <c r="K206" s="7"/>
      <c r="L206" s="8"/>
      <c r="M206" s="3"/>
      <c r="N206" s="3"/>
      <c r="O206" s="3"/>
      <c r="P206" s="3"/>
      <c r="Q206" s="3"/>
      <c r="R206" s="3"/>
    </row>
    <row r="207" spans="1:18" ht="15.75" customHeight="1" x14ac:dyDescent="0.3">
      <c r="A207" s="3"/>
      <c r="J207" s="6"/>
      <c r="K207" s="7"/>
      <c r="L207" s="8"/>
      <c r="M207" s="3"/>
      <c r="N207" s="3"/>
      <c r="O207" s="3"/>
      <c r="P207" s="3"/>
      <c r="Q207" s="3"/>
      <c r="R207" s="3"/>
    </row>
    <row r="208" spans="1:18" ht="15.75" customHeight="1" x14ac:dyDescent="0.3">
      <c r="A208" s="3"/>
      <c r="J208" s="6"/>
      <c r="K208" s="7"/>
      <c r="L208" s="8"/>
      <c r="M208" s="3"/>
      <c r="N208" s="3"/>
      <c r="O208" s="3"/>
      <c r="P208" s="3"/>
      <c r="Q208" s="3"/>
      <c r="R208" s="3"/>
    </row>
    <row r="209" spans="1:18" ht="15.75" customHeight="1" x14ac:dyDescent="0.3">
      <c r="A209" s="3"/>
      <c r="J209" s="6"/>
      <c r="K209" s="7"/>
      <c r="L209" s="8"/>
      <c r="M209" s="3"/>
      <c r="N209" s="3"/>
      <c r="O209" s="3"/>
      <c r="P209" s="3"/>
      <c r="Q209" s="3"/>
      <c r="R209" s="3"/>
    </row>
    <row r="210" spans="1:18" ht="15.75" customHeight="1" x14ac:dyDescent="0.3">
      <c r="A210" s="3"/>
      <c r="J210" s="6"/>
      <c r="K210" s="7"/>
      <c r="L210" s="8"/>
      <c r="M210" s="3"/>
      <c r="N210" s="3"/>
      <c r="O210" s="3"/>
      <c r="P210" s="3"/>
      <c r="Q210" s="3"/>
      <c r="R210" s="3"/>
    </row>
    <row r="211" spans="1:18" ht="15.75" customHeight="1" x14ac:dyDescent="0.3">
      <c r="A211" s="3"/>
      <c r="J211" s="6"/>
      <c r="K211" s="7"/>
      <c r="L211" s="8"/>
      <c r="M211" s="3"/>
      <c r="N211" s="3"/>
      <c r="O211" s="3"/>
      <c r="P211" s="3"/>
      <c r="Q211" s="3"/>
      <c r="R211" s="3"/>
    </row>
    <row r="212" spans="1:18" ht="15.75" customHeight="1" x14ac:dyDescent="0.3">
      <c r="A212" s="3"/>
      <c r="J212" s="6"/>
      <c r="K212" s="7"/>
      <c r="L212" s="8"/>
      <c r="M212" s="3"/>
      <c r="N212" s="3"/>
      <c r="O212" s="3"/>
      <c r="P212" s="3"/>
      <c r="Q212" s="3"/>
      <c r="R212" s="3"/>
    </row>
    <row r="213" spans="1:18" ht="15.75" customHeight="1" x14ac:dyDescent="0.3">
      <c r="A213" s="3"/>
      <c r="J213" s="6"/>
      <c r="K213" s="7"/>
      <c r="L213" s="8"/>
      <c r="M213" s="3"/>
      <c r="N213" s="3"/>
      <c r="O213" s="3"/>
      <c r="P213" s="3"/>
      <c r="Q213" s="3"/>
      <c r="R213" s="3"/>
    </row>
    <row r="214" spans="1:18" ht="15.75" customHeight="1" x14ac:dyDescent="0.3">
      <c r="A214" s="3"/>
      <c r="J214" s="6"/>
      <c r="K214" s="7"/>
      <c r="L214" s="8"/>
      <c r="M214" s="3"/>
      <c r="N214" s="3"/>
      <c r="O214" s="3"/>
      <c r="P214" s="3"/>
      <c r="Q214" s="3"/>
      <c r="R214" s="3"/>
    </row>
    <row r="215" spans="1:18" ht="15.75" customHeight="1" x14ac:dyDescent="0.3">
      <c r="A215" s="3"/>
      <c r="J215" s="6"/>
      <c r="K215" s="7"/>
      <c r="L215" s="8"/>
      <c r="M215" s="3"/>
      <c r="N215" s="3"/>
      <c r="O215" s="3"/>
      <c r="P215" s="3"/>
      <c r="Q215" s="3"/>
      <c r="R215" s="3"/>
    </row>
    <row r="216" spans="1:18" ht="15.75" customHeight="1" x14ac:dyDescent="0.3">
      <c r="A216" s="3"/>
      <c r="J216" s="6"/>
      <c r="K216" s="7"/>
      <c r="L216" s="8"/>
      <c r="M216" s="3"/>
      <c r="N216" s="3"/>
      <c r="O216" s="3"/>
      <c r="P216" s="3"/>
      <c r="Q216" s="3"/>
      <c r="R216" s="3"/>
    </row>
    <row r="217" spans="1:18" ht="15.75" customHeight="1" x14ac:dyDescent="0.3">
      <c r="A217" s="3"/>
      <c r="J217" s="6"/>
      <c r="K217" s="7"/>
      <c r="L217" s="8"/>
      <c r="M217" s="3"/>
      <c r="N217" s="3"/>
      <c r="O217" s="3"/>
      <c r="P217" s="3"/>
      <c r="Q217" s="3"/>
      <c r="R217" s="3"/>
    </row>
    <row r="218" spans="1:18" ht="15.75" customHeight="1" x14ac:dyDescent="0.3">
      <c r="A218" s="3"/>
      <c r="J218" s="6"/>
      <c r="K218" s="7"/>
      <c r="L218" s="8"/>
      <c r="M218" s="3"/>
      <c r="N218" s="3"/>
      <c r="O218" s="3"/>
      <c r="P218" s="3"/>
      <c r="Q218" s="3"/>
      <c r="R218" s="3"/>
    </row>
    <row r="219" spans="1:18" ht="15.75" customHeight="1" x14ac:dyDescent="0.3">
      <c r="A219" s="3"/>
      <c r="J219" s="6"/>
      <c r="K219" s="7"/>
      <c r="L219" s="8"/>
      <c r="M219" s="3"/>
      <c r="N219" s="3"/>
      <c r="O219" s="3"/>
      <c r="P219" s="3"/>
      <c r="Q219" s="3"/>
      <c r="R219" s="3"/>
    </row>
    <row r="220" spans="1:18" ht="15.75" customHeight="1" x14ac:dyDescent="0.3">
      <c r="A220" s="3"/>
      <c r="J220" s="6"/>
      <c r="K220" s="7"/>
      <c r="L220" s="8"/>
      <c r="M220" s="3"/>
      <c r="N220" s="3"/>
      <c r="O220" s="3"/>
      <c r="P220" s="3"/>
      <c r="Q220" s="3"/>
      <c r="R220" s="3"/>
    </row>
    <row r="221" spans="1:18" ht="15.75" customHeight="1" x14ac:dyDescent="0.3">
      <c r="A221" s="3"/>
      <c r="J221" s="6"/>
      <c r="K221" s="7"/>
      <c r="L221" s="8"/>
      <c r="M221" s="3"/>
      <c r="N221" s="3"/>
      <c r="O221" s="3"/>
      <c r="P221" s="3"/>
      <c r="Q221" s="3"/>
      <c r="R221" s="3"/>
    </row>
    <row r="222" spans="1:18" ht="15.75" customHeight="1" x14ac:dyDescent="0.3">
      <c r="A222" s="3"/>
      <c r="J222" s="6"/>
      <c r="K222" s="7"/>
      <c r="L222" s="8"/>
      <c r="M222" s="3"/>
      <c r="N222" s="3"/>
      <c r="O222" s="3"/>
      <c r="P222" s="3"/>
      <c r="Q222" s="3"/>
      <c r="R222" s="3"/>
    </row>
    <row r="223" spans="1:18" ht="15.75" customHeight="1" x14ac:dyDescent="0.3">
      <c r="A223" s="3"/>
      <c r="J223" s="6"/>
      <c r="K223" s="7"/>
      <c r="L223" s="8"/>
      <c r="M223" s="3"/>
      <c r="N223" s="3"/>
      <c r="O223" s="3"/>
      <c r="P223" s="3"/>
      <c r="Q223" s="3"/>
      <c r="R223" s="3"/>
    </row>
    <row r="224" spans="1:18" ht="15.75" customHeight="1" x14ac:dyDescent="0.3">
      <c r="A224" s="3"/>
      <c r="J224" s="6"/>
      <c r="K224" s="7"/>
      <c r="L224" s="8"/>
      <c r="M224" s="3"/>
      <c r="N224" s="3"/>
      <c r="O224" s="3"/>
      <c r="P224" s="3"/>
      <c r="Q224" s="3"/>
      <c r="R224" s="3"/>
    </row>
    <row r="225" spans="1:18" ht="15.75" customHeight="1" x14ac:dyDescent="0.3">
      <c r="A225" s="3"/>
      <c r="J225" s="6"/>
      <c r="K225" s="7"/>
      <c r="L225" s="8"/>
      <c r="M225" s="3"/>
      <c r="N225" s="3"/>
      <c r="O225" s="3"/>
      <c r="P225" s="3"/>
      <c r="Q225" s="3"/>
      <c r="R225" s="3"/>
    </row>
    <row r="226" spans="1:18" ht="15.75" customHeight="1" x14ac:dyDescent="0.3">
      <c r="A226" s="3"/>
      <c r="J226" s="6"/>
      <c r="K226" s="7"/>
      <c r="L226" s="8"/>
      <c r="M226" s="3"/>
      <c r="N226" s="3"/>
      <c r="O226" s="3"/>
      <c r="P226" s="3"/>
      <c r="Q226" s="3"/>
      <c r="R226" s="3"/>
    </row>
    <row r="227" spans="1:18" ht="15.75" customHeight="1" x14ac:dyDescent="0.3">
      <c r="A227" s="3"/>
      <c r="J227" s="6"/>
      <c r="K227" s="7"/>
      <c r="L227" s="8"/>
      <c r="M227" s="3"/>
      <c r="N227" s="3"/>
      <c r="O227" s="3"/>
      <c r="P227" s="3"/>
      <c r="Q227" s="3"/>
      <c r="R227" s="3"/>
    </row>
    <row r="228" spans="1:18" ht="15.75" customHeight="1" x14ac:dyDescent="0.3">
      <c r="A228" s="3"/>
      <c r="J228" s="6"/>
      <c r="K228" s="7"/>
      <c r="L228" s="8"/>
      <c r="M228" s="3"/>
      <c r="N228" s="3"/>
      <c r="O228" s="3"/>
      <c r="P228" s="3"/>
      <c r="Q228" s="3"/>
      <c r="R228" s="3"/>
    </row>
    <row r="229" spans="1:18" ht="15.75" customHeight="1" x14ac:dyDescent="0.3">
      <c r="A229" s="3"/>
      <c r="J229" s="6"/>
      <c r="K229" s="7"/>
      <c r="L229" s="8"/>
      <c r="M229" s="3"/>
      <c r="N229" s="3"/>
      <c r="O229" s="3"/>
      <c r="P229" s="3"/>
      <c r="Q229" s="3"/>
      <c r="R229" s="3"/>
    </row>
    <row r="230" spans="1:18" ht="15.75" customHeight="1" x14ac:dyDescent="0.3">
      <c r="A230" s="3"/>
      <c r="J230" s="6"/>
      <c r="K230" s="7"/>
      <c r="L230" s="8"/>
      <c r="M230" s="3"/>
      <c r="N230" s="3"/>
      <c r="O230" s="3"/>
      <c r="P230" s="3"/>
      <c r="Q230" s="3"/>
      <c r="R230" s="3"/>
    </row>
    <row r="231" spans="1:18" ht="15.75" customHeight="1" x14ac:dyDescent="0.3">
      <c r="A231" s="3"/>
      <c r="J231" s="6"/>
      <c r="K231" s="7"/>
      <c r="L231" s="8"/>
      <c r="M231" s="3"/>
      <c r="N231" s="3"/>
      <c r="O231" s="3"/>
      <c r="P231" s="3"/>
      <c r="Q231" s="3"/>
      <c r="R231" s="3"/>
    </row>
    <row r="232" spans="1:18" ht="15.75" customHeight="1" x14ac:dyDescent="0.3">
      <c r="A232" s="3"/>
      <c r="J232" s="6"/>
      <c r="K232" s="7"/>
      <c r="L232" s="8"/>
      <c r="M232" s="3"/>
      <c r="N232" s="3"/>
      <c r="O232" s="3"/>
      <c r="P232" s="3"/>
      <c r="Q232" s="3"/>
      <c r="R232" s="3"/>
    </row>
    <row r="233" spans="1:18" ht="15.75" customHeight="1" x14ac:dyDescent="0.3">
      <c r="A233" s="3"/>
      <c r="J233" s="6"/>
      <c r="K233" s="7"/>
      <c r="L233" s="8"/>
      <c r="M233" s="3"/>
      <c r="N233" s="3"/>
      <c r="O233" s="3"/>
      <c r="P233" s="3"/>
      <c r="Q233" s="3"/>
      <c r="R233" s="3"/>
    </row>
    <row r="234" spans="1:18" ht="15.75" customHeight="1" x14ac:dyDescent="0.3">
      <c r="A234" s="3"/>
      <c r="J234" s="6"/>
      <c r="K234" s="7"/>
      <c r="L234" s="8"/>
      <c r="M234" s="3"/>
      <c r="N234" s="3"/>
      <c r="O234" s="3"/>
      <c r="P234" s="3"/>
      <c r="Q234" s="3"/>
      <c r="R234" s="3"/>
    </row>
    <row r="235" spans="1:18" ht="15.75" customHeight="1" x14ac:dyDescent="0.3">
      <c r="A235" s="3"/>
      <c r="J235" s="6"/>
      <c r="K235" s="7"/>
      <c r="L235" s="8"/>
      <c r="M235" s="3"/>
      <c r="N235" s="3"/>
      <c r="O235" s="3"/>
      <c r="P235" s="3"/>
      <c r="Q235" s="3"/>
      <c r="R235" s="3"/>
    </row>
    <row r="236" spans="1:18" ht="15.75" customHeight="1" x14ac:dyDescent="0.3">
      <c r="A236" s="3"/>
      <c r="J236" s="6"/>
      <c r="K236" s="7"/>
      <c r="L236" s="8"/>
      <c r="M236" s="3"/>
      <c r="N236" s="3"/>
      <c r="O236" s="3"/>
      <c r="P236" s="3"/>
      <c r="Q236" s="3"/>
      <c r="R236" s="3"/>
    </row>
    <row r="237" spans="1:18" ht="15.75" customHeight="1" x14ac:dyDescent="0.3">
      <c r="A237" s="3"/>
      <c r="J237" s="6"/>
      <c r="K237" s="7"/>
      <c r="L237" s="8"/>
      <c r="M237" s="3"/>
      <c r="N237" s="3"/>
      <c r="O237" s="3"/>
      <c r="P237" s="3"/>
      <c r="Q237" s="3"/>
      <c r="R237" s="3"/>
    </row>
    <row r="238" spans="1:18" ht="15.75" customHeight="1" x14ac:dyDescent="0.3">
      <c r="A238" s="3"/>
      <c r="J238" s="6"/>
      <c r="K238" s="7"/>
      <c r="L238" s="8"/>
      <c r="M238" s="3"/>
      <c r="N238" s="3"/>
      <c r="O238" s="3"/>
      <c r="P238" s="3"/>
      <c r="Q238" s="3"/>
      <c r="R238" s="3"/>
    </row>
    <row r="239" spans="1:18" ht="15.75" customHeight="1" x14ac:dyDescent="0.3">
      <c r="A239" s="3"/>
      <c r="J239" s="6"/>
      <c r="K239" s="7"/>
      <c r="L239" s="8"/>
      <c r="M239" s="3"/>
      <c r="N239" s="3"/>
      <c r="O239" s="3"/>
      <c r="P239" s="3"/>
      <c r="Q239" s="3"/>
      <c r="R239" s="3"/>
    </row>
    <row r="240" spans="1:18" ht="15.75" customHeight="1" x14ac:dyDescent="0.3">
      <c r="A240" s="3"/>
      <c r="J240" s="6"/>
      <c r="K240" s="7"/>
      <c r="L240" s="8"/>
      <c r="M240" s="3"/>
      <c r="N240" s="3"/>
      <c r="O240" s="3"/>
      <c r="P240" s="3"/>
      <c r="Q240" s="3"/>
      <c r="R240" s="3"/>
    </row>
    <row r="241" spans="1:18" ht="15.75" customHeight="1" x14ac:dyDescent="0.3">
      <c r="A241" s="3"/>
      <c r="J241" s="6"/>
      <c r="K241" s="7"/>
      <c r="L241" s="8"/>
      <c r="M241" s="3"/>
      <c r="N241" s="3"/>
      <c r="O241" s="3"/>
      <c r="P241" s="3"/>
      <c r="Q241" s="3"/>
      <c r="R241" s="3"/>
    </row>
    <row r="242" spans="1:18" ht="15.75" customHeight="1" x14ac:dyDescent="0.3">
      <c r="A242" s="3"/>
      <c r="J242" s="6"/>
      <c r="K242" s="7"/>
      <c r="L242" s="8"/>
      <c r="M242" s="3"/>
      <c r="N242" s="3"/>
      <c r="O242" s="3"/>
      <c r="P242" s="3"/>
      <c r="Q242" s="3"/>
      <c r="R242" s="3"/>
    </row>
    <row r="243" spans="1:18" ht="15.75" customHeight="1" x14ac:dyDescent="0.3">
      <c r="A243" s="3"/>
      <c r="J243" s="6"/>
      <c r="K243" s="7"/>
      <c r="L243" s="8"/>
      <c r="M243" s="3"/>
      <c r="N243" s="3"/>
      <c r="O243" s="3"/>
      <c r="P243" s="3"/>
      <c r="Q243" s="3"/>
      <c r="R243" s="3"/>
    </row>
    <row r="244" spans="1:18" ht="15.75" customHeight="1" x14ac:dyDescent="0.3">
      <c r="A244" s="3"/>
      <c r="J244" s="6"/>
      <c r="K244" s="7"/>
      <c r="L244" s="8"/>
      <c r="M244" s="3"/>
      <c r="N244" s="3"/>
      <c r="O244" s="3"/>
      <c r="P244" s="3"/>
      <c r="Q244" s="3"/>
      <c r="R244" s="3"/>
    </row>
    <row r="245" spans="1:18" ht="15.75" customHeight="1" x14ac:dyDescent="0.3">
      <c r="A245" s="3"/>
      <c r="J245" s="6"/>
      <c r="K245" s="7"/>
      <c r="L245" s="8"/>
      <c r="M245" s="3"/>
      <c r="N245" s="3"/>
      <c r="O245" s="3"/>
      <c r="P245" s="3"/>
      <c r="Q245" s="3"/>
      <c r="R245" s="3"/>
    </row>
    <row r="246" spans="1:18" ht="15.75" customHeight="1" x14ac:dyDescent="0.3">
      <c r="A246" s="3"/>
      <c r="J246" s="6"/>
      <c r="K246" s="7"/>
      <c r="L246" s="8"/>
      <c r="M246" s="3"/>
      <c r="N246" s="3"/>
      <c r="O246" s="3"/>
      <c r="P246" s="3"/>
      <c r="Q246" s="3"/>
      <c r="R246" s="3"/>
    </row>
    <row r="247" spans="1:18" ht="15.75" customHeight="1" x14ac:dyDescent="0.3">
      <c r="A247" s="3"/>
      <c r="J247" s="6"/>
      <c r="K247" s="7"/>
      <c r="L247" s="8"/>
      <c r="M247" s="3"/>
      <c r="N247" s="3"/>
      <c r="O247" s="3"/>
      <c r="P247" s="3"/>
      <c r="Q247" s="3"/>
      <c r="R247" s="3"/>
    </row>
    <row r="248" spans="1:18" ht="15.75" customHeight="1" x14ac:dyDescent="0.3">
      <c r="A248" s="3"/>
      <c r="J248" s="6"/>
      <c r="K248" s="7"/>
      <c r="L248" s="8"/>
      <c r="M248" s="3"/>
      <c r="N248" s="3"/>
      <c r="O248" s="3"/>
      <c r="P248" s="3"/>
      <c r="Q248" s="3"/>
      <c r="R248" s="3"/>
    </row>
    <row r="249" spans="1:18" ht="15.75" customHeight="1" x14ac:dyDescent="0.3">
      <c r="A249" s="3"/>
      <c r="J249" s="6"/>
      <c r="K249" s="7"/>
      <c r="L249" s="8"/>
      <c r="M249" s="3"/>
      <c r="N249" s="3"/>
      <c r="O249" s="3"/>
      <c r="P249" s="3"/>
      <c r="Q249" s="3"/>
      <c r="R249" s="3"/>
    </row>
    <row r="250" spans="1:18" ht="15.75" customHeight="1" x14ac:dyDescent="0.3">
      <c r="A250" s="3"/>
      <c r="J250" s="6"/>
      <c r="K250" s="7"/>
      <c r="L250" s="8"/>
      <c r="M250" s="3"/>
      <c r="N250" s="3"/>
      <c r="O250" s="3"/>
      <c r="P250" s="3"/>
      <c r="Q250" s="3"/>
      <c r="R250" s="3"/>
    </row>
    <row r="251" spans="1:18" ht="15.75" customHeight="1" x14ac:dyDescent="0.3">
      <c r="A251" s="3"/>
      <c r="J251" s="6"/>
      <c r="K251" s="7"/>
      <c r="L251" s="8"/>
      <c r="M251" s="3"/>
      <c r="N251" s="3"/>
      <c r="O251" s="3"/>
      <c r="P251" s="3"/>
      <c r="Q251" s="3"/>
      <c r="R251" s="3"/>
    </row>
    <row r="252" spans="1:18" ht="15.75" customHeight="1" x14ac:dyDescent="0.3">
      <c r="A252" s="3"/>
      <c r="J252" s="6"/>
      <c r="K252" s="7"/>
      <c r="L252" s="8"/>
      <c r="M252" s="3"/>
      <c r="N252" s="3"/>
      <c r="O252" s="3"/>
      <c r="P252" s="3"/>
      <c r="Q252" s="3"/>
      <c r="R252" s="3"/>
    </row>
    <row r="253" spans="1:18" ht="15.75" customHeight="1" x14ac:dyDescent="0.3">
      <c r="A253" s="3"/>
      <c r="J253" s="6"/>
      <c r="K253" s="7"/>
      <c r="L253" s="8"/>
      <c r="M253" s="3"/>
      <c r="N253" s="3"/>
      <c r="O253" s="3"/>
      <c r="P253" s="3"/>
      <c r="Q253" s="3"/>
      <c r="R253" s="3"/>
    </row>
    <row r="254" spans="1:18" ht="15.75" customHeight="1" x14ac:dyDescent="0.3">
      <c r="A254" s="3"/>
      <c r="J254" s="6"/>
      <c r="K254" s="7"/>
      <c r="L254" s="8"/>
      <c r="M254" s="3"/>
      <c r="N254" s="3"/>
      <c r="O254" s="3"/>
      <c r="P254" s="3"/>
      <c r="Q254" s="3"/>
      <c r="R254" s="3"/>
    </row>
    <row r="255" spans="1:18" ht="15.75" customHeight="1" x14ac:dyDescent="0.3">
      <c r="A255" s="3"/>
      <c r="J255" s="6"/>
      <c r="K255" s="7"/>
      <c r="L255" s="8"/>
      <c r="M255" s="3"/>
      <c r="N255" s="3"/>
      <c r="O255" s="3"/>
      <c r="P255" s="3"/>
      <c r="Q255" s="3"/>
      <c r="R255" s="3"/>
    </row>
    <row r="256" spans="1:18" ht="15.75" customHeight="1" x14ac:dyDescent="0.3">
      <c r="A256" s="3"/>
      <c r="J256" s="6"/>
      <c r="K256" s="7"/>
      <c r="L256" s="8"/>
      <c r="M256" s="3"/>
      <c r="N256" s="3"/>
      <c r="O256" s="3"/>
      <c r="P256" s="3"/>
      <c r="Q256" s="3"/>
      <c r="R256" s="3"/>
    </row>
    <row r="257" spans="1:18" ht="15.75" customHeight="1" x14ac:dyDescent="0.3">
      <c r="A257" s="3"/>
      <c r="J257" s="6"/>
      <c r="K257" s="7"/>
      <c r="L257" s="8"/>
      <c r="M257" s="3"/>
      <c r="N257" s="3"/>
      <c r="O257" s="3"/>
      <c r="P257" s="3"/>
      <c r="Q257" s="3"/>
      <c r="R257" s="3"/>
    </row>
    <row r="258" spans="1:18" ht="15.75" customHeight="1" x14ac:dyDescent="0.3">
      <c r="A258" s="3"/>
      <c r="J258" s="6"/>
      <c r="K258" s="7"/>
      <c r="L258" s="8"/>
      <c r="M258" s="3"/>
      <c r="N258" s="3"/>
      <c r="O258" s="3"/>
      <c r="P258" s="3"/>
      <c r="Q258" s="3"/>
      <c r="R258" s="3"/>
    </row>
    <row r="259" spans="1:18" ht="15.75" customHeight="1" x14ac:dyDescent="0.3">
      <c r="A259" s="3"/>
      <c r="J259" s="6"/>
      <c r="K259" s="7"/>
      <c r="L259" s="8"/>
      <c r="M259" s="3"/>
      <c r="N259" s="3"/>
      <c r="O259" s="3"/>
      <c r="P259" s="3"/>
      <c r="Q259" s="3"/>
      <c r="R259" s="3"/>
    </row>
    <row r="260" spans="1:18" ht="15.75" customHeight="1" x14ac:dyDescent="0.3">
      <c r="A260" s="3"/>
      <c r="J260" s="6"/>
      <c r="K260" s="7"/>
      <c r="L260" s="8"/>
      <c r="M260" s="3"/>
      <c r="N260" s="3"/>
      <c r="O260" s="3"/>
      <c r="P260" s="3"/>
      <c r="Q260" s="3"/>
      <c r="R260" s="3"/>
    </row>
    <row r="261" spans="1:18" ht="15.75" customHeight="1" x14ac:dyDescent="0.3">
      <c r="A261" s="3"/>
      <c r="J261" s="6"/>
      <c r="K261" s="7"/>
      <c r="L261" s="8"/>
      <c r="M261" s="3"/>
      <c r="N261" s="3"/>
      <c r="O261" s="3"/>
      <c r="P261" s="3"/>
      <c r="Q261" s="3"/>
      <c r="R261" s="3"/>
    </row>
    <row r="262" spans="1:18" ht="15.75" customHeight="1" x14ac:dyDescent="0.3">
      <c r="A262" s="3"/>
      <c r="J262" s="6"/>
      <c r="K262" s="7"/>
      <c r="L262" s="8"/>
      <c r="M262" s="3"/>
      <c r="N262" s="3"/>
      <c r="O262" s="3"/>
      <c r="P262" s="3"/>
      <c r="Q262" s="3"/>
      <c r="R262" s="3"/>
    </row>
    <row r="263" spans="1:18" ht="15.75" customHeight="1" x14ac:dyDescent="0.3">
      <c r="A263" s="3"/>
      <c r="J263" s="6"/>
      <c r="K263" s="7"/>
      <c r="L263" s="8"/>
      <c r="M263" s="3"/>
      <c r="N263" s="3"/>
      <c r="O263" s="3"/>
      <c r="P263" s="3"/>
      <c r="Q263" s="3"/>
      <c r="R263" s="3"/>
    </row>
    <row r="264" spans="1:18" ht="15.75" customHeight="1" x14ac:dyDescent="0.3">
      <c r="A264" s="3"/>
      <c r="J264" s="6"/>
      <c r="K264" s="7"/>
      <c r="L264" s="8"/>
      <c r="M264" s="3"/>
      <c r="N264" s="3"/>
      <c r="O264" s="3"/>
      <c r="P264" s="3"/>
      <c r="Q264" s="3"/>
      <c r="R264" s="3"/>
    </row>
    <row r="265" spans="1:18" ht="15.75" customHeight="1" x14ac:dyDescent="0.3">
      <c r="A265" s="3"/>
      <c r="J265" s="6"/>
      <c r="K265" s="7"/>
      <c r="L265" s="8"/>
      <c r="M265" s="3"/>
      <c r="N265" s="3"/>
      <c r="O265" s="3"/>
      <c r="P265" s="3"/>
      <c r="Q265" s="3"/>
      <c r="R265" s="3"/>
    </row>
    <row r="266" spans="1:18" ht="15.75" customHeight="1" x14ac:dyDescent="0.3">
      <c r="A266" s="3"/>
      <c r="J266" s="6"/>
      <c r="K266" s="7"/>
      <c r="L266" s="8"/>
      <c r="M266" s="3"/>
      <c r="N266" s="3"/>
      <c r="O266" s="3"/>
      <c r="P266" s="3"/>
      <c r="Q266" s="3"/>
      <c r="R266" s="3"/>
    </row>
    <row r="267" spans="1:18" ht="15.75" customHeight="1" x14ac:dyDescent="0.3">
      <c r="A267" s="3"/>
      <c r="J267" s="6"/>
      <c r="K267" s="7"/>
      <c r="L267" s="8"/>
      <c r="M267" s="3"/>
      <c r="N267" s="3"/>
      <c r="O267" s="3"/>
      <c r="P267" s="3"/>
      <c r="Q267" s="3"/>
      <c r="R267" s="3"/>
    </row>
    <row r="268" spans="1:18" ht="15.75" customHeight="1" x14ac:dyDescent="0.3">
      <c r="A268" s="3"/>
      <c r="J268" s="6"/>
      <c r="K268" s="7"/>
      <c r="L268" s="8"/>
      <c r="M268" s="3"/>
      <c r="N268" s="3"/>
      <c r="O268" s="3"/>
      <c r="P268" s="3"/>
      <c r="Q268" s="3"/>
      <c r="R268" s="3"/>
    </row>
    <row r="269" spans="1:18" ht="15.75" customHeight="1" x14ac:dyDescent="0.3">
      <c r="K269" s="79"/>
      <c r="L269" s="79"/>
      <c r="M269" s="3"/>
      <c r="N269" s="3"/>
      <c r="O269" s="3"/>
      <c r="P269" s="3"/>
    </row>
    <row r="270" spans="1:18" ht="15.75" customHeight="1" x14ac:dyDescent="0.3">
      <c r="K270" s="79"/>
      <c r="L270" s="79"/>
      <c r="M270" s="3"/>
      <c r="N270" s="3"/>
      <c r="O270" s="3"/>
      <c r="P270" s="3"/>
    </row>
    <row r="271" spans="1:18" ht="15.75" customHeight="1" x14ac:dyDescent="0.3">
      <c r="K271" s="79"/>
      <c r="L271" s="79"/>
      <c r="M271" s="3"/>
      <c r="N271" s="3"/>
      <c r="O271" s="3"/>
      <c r="P271" s="3"/>
    </row>
    <row r="272" spans="1:18" ht="15.75" customHeight="1" x14ac:dyDescent="0.3">
      <c r="K272" s="79"/>
      <c r="L272" s="79"/>
      <c r="M272" s="3"/>
      <c r="N272" s="3"/>
      <c r="O272" s="3"/>
      <c r="P272" s="3"/>
    </row>
    <row r="273" spans="11:16" ht="15.75" customHeight="1" x14ac:dyDescent="0.3">
      <c r="K273" s="79"/>
      <c r="L273" s="79"/>
      <c r="M273" s="3"/>
      <c r="N273" s="3"/>
      <c r="O273" s="3"/>
      <c r="P273" s="3"/>
    </row>
    <row r="274" spans="11:16" ht="15.75" customHeight="1" x14ac:dyDescent="0.3">
      <c r="K274" s="79"/>
      <c r="L274" s="79"/>
      <c r="M274" s="3"/>
      <c r="N274" s="3"/>
      <c r="O274" s="3"/>
      <c r="P274" s="3"/>
    </row>
    <row r="275" spans="11:16" ht="15.75" customHeight="1" x14ac:dyDescent="0.3">
      <c r="K275" s="79"/>
      <c r="L275" s="79"/>
      <c r="M275" s="3"/>
      <c r="N275" s="3"/>
      <c r="O275" s="3"/>
      <c r="P275" s="3"/>
    </row>
    <row r="276" spans="11:16" ht="15.75" customHeight="1" x14ac:dyDescent="0.3">
      <c r="K276" s="79"/>
      <c r="L276" s="79"/>
      <c r="M276" s="3"/>
      <c r="N276" s="3"/>
      <c r="O276" s="3"/>
      <c r="P276" s="3"/>
    </row>
    <row r="277" spans="11:16" ht="15.75" customHeight="1" x14ac:dyDescent="0.3">
      <c r="K277" s="79"/>
      <c r="L277" s="79"/>
      <c r="M277" s="3"/>
      <c r="N277" s="3"/>
      <c r="O277" s="3"/>
      <c r="P277" s="3"/>
    </row>
    <row r="278" spans="11:16" ht="15.75" customHeight="1" x14ac:dyDescent="0.3">
      <c r="K278" s="79"/>
      <c r="L278" s="79"/>
      <c r="M278" s="3"/>
      <c r="N278" s="3"/>
      <c r="O278" s="3"/>
      <c r="P278" s="3"/>
    </row>
    <row r="279" spans="11:16" ht="15.75" customHeight="1" x14ac:dyDescent="0.3">
      <c r="K279" s="79"/>
      <c r="L279" s="79"/>
      <c r="M279" s="3"/>
      <c r="N279" s="3"/>
      <c r="O279" s="3"/>
      <c r="P279" s="3"/>
    </row>
    <row r="280" spans="11:16" ht="15.75" customHeight="1" x14ac:dyDescent="0.3">
      <c r="K280" s="79"/>
      <c r="L280" s="79"/>
      <c r="M280" s="3"/>
      <c r="N280" s="3"/>
      <c r="O280" s="3"/>
      <c r="P280" s="3"/>
    </row>
    <row r="281" spans="11:16" ht="15.75" customHeight="1" x14ac:dyDescent="0.3">
      <c r="K281" s="79"/>
      <c r="L281" s="79"/>
      <c r="M281" s="3"/>
      <c r="N281" s="3"/>
      <c r="O281" s="3"/>
      <c r="P281" s="3"/>
    </row>
    <row r="282" spans="11:16" ht="15.75" customHeight="1" x14ac:dyDescent="0.3">
      <c r="K282" s="79"/>
      <c r="L282" s="79"/>
      <c r="M282" s="3"/>
      <c r="N282" s="3"/>
      <c r="O282" s="3"/>
      <c r="P282" s="3"/>
    </row>
    <row r="283" spans="11:16" ht="15.75" customHeight="1" x14ac:dyDescent="0.3">
      <c r="K283" s="79"/>
      <c r="L283" s="79"/>
      <c r="M283" s="3"/>
      <c r="N283" s="3"/>
      <c r="O283" s="3"/>
      <c r="P283" s="3"/>
    </row>
    <row r="284" spans="11:16" ht="15.75" customHeight="1" x14ac:dyDescent="0.3">
      <c r="K284" s="79"/>
      <c r="L284" s="79"/>
      <c r="M284" s="3"/>
      <c r="N284" s="3"/>
      <c r="O284" s="3"/>
      <c r="P284" s="3"/>
    </row>
    <row r="285" spans="11:16" ht="15.75" customHeight="1" x14ac:dyDescent="0.3">
      <c r="K285" s="79"/>
      <c r="L285" s="79"/>
      <c r="M285" s="3"/>
      <c r="N285" s="3"/>
      <c r="O285" s="3"/>
      <c r="P285" s="3"/>
    </row>
    <row r="286" spans="11:16" ht="15.75" customHeight="1" x14ac:dyDescent="0.3"/>
    <row r="287" spans="11:16" ht="15.75" customHeight="1" x14ac:dyDescent="0.3"/>
    <row r="288" spans="11:16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N3"/>
    <mergeCell ref="B80:H80"/>
    <mergeCell ref="B82:H82"/>
    <mergeCell ref="B83:H83"/>
  </mergeCells>
  <pageMargins left="0.25" right="0.25" top="0.75" bottom="0.75" header="0" footer="0"/>
  <pageSetup paperSize="3" scale="64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CFCA-87EB-4406-A865-4B71AB263702}">
  <dimension ref="A1:CD874"/>
  <sheetViews>
    <sheetView topLeftCell="A70" workbookViewId="0">
      <selection activeCell="E91" sqref="E91"/>
    </sheetView>
  </sheetViews>
  <sheetFormatPr baseColWidth="10" defaultColWidth="14.44140625" defaultRowHeight="15" customHeight="1" outlineLevelRow="1" outlineLevelCol="2" x14ac:dyDescent="0.3"/>
  <cols>
    <col min="1" max="1" width="14.6640625" style="4" customWidth="1"/>
    <col min="2" max="2" width="40.6640625" style="4" customWidth="1"/>
    <col min="3" max="3" width="17.33203125" style="4" customWidth="1"/>
    <col min="4" max="4" width="16.44140625" style="4" customWidth="1"/>
    <col min="5" max="15" width="16.109375" style="4" customWidth="1"/>
    <col min="16" max="16" width="16.44140625" style="4" customWidth="1"/>
    <col min="17" max="17" width="16.6640625" style="4" customWidth="1"/>
    <col min="18" max="18" width="17.33203125" style="4" customWidth="1"/>
    <col min="19" max="25" width="16.6640625" style="4" customWidth="1"/>
    <col min="26" max="53" width="17.5546875" style="4" customWidth="1"/>
    <col min="54" max="56" width="17.5546875" style="4" customWidth="1" outlineLevel="1"/>
    <col min="57" max="62" width="17.5546875" style="4" customWidth="1" outlineLevel="2"/>
    <col min="63" max="63" width="17.5546875" style="4" customWidth="1"/>
    <col min="64" max="64" width="17.33203125" style="4" customWidth="1"/>
    <col min="65" max="65" width="16" style="4" customWidth="1"/>
    <col min="66" max="16384" width="14.44140625" style="4"/>
  </cols>
  <sheetData>
    <row r="1" spans="1:82" ht="25.8" x14ac:dyDescent="0.5">
      <c r="B1" s="9" t="s">
        <v>1</v>
      </c>
      <c r="BC1" s="3">
        <f>53/12</f>
        <v>4.416666666666667</v>
      </c>
    </row>
    <row r="2" spans="1:82" ht="25.8" x14ac:dyDescent="0.5">
      <c r="B2" s="9"/>
      <c r="C2" s="3" t="str">
        <f t="shared" ref="C2:BJ2" si="0">+TEXT(C4,"yyyy")</f>
        <v>2026</v>
      </c>
      <c r="D2" s="3" t="str">
        <f t="shared" si="0"/>
        <v>2026</v>
      </c>
      <c r="E2" s="3" t="str">
        <f t="shared" si="0"/>
        <v>2026</v>
      </c>
      <c r="F2" s="3" t="str">
        <f t="shared" si="0"/>
        <v>2026</v>
      </c>
      <c r="G2" s="3" t="str">
        <f t="shared" si="0"/>
        <v>2026</v>
      </c>
      <c r="H2" s="3" t="str">
        <f t="shared" si="0"/>
        <v>2026</v>
      </c>
      <c r="I2" s="3" t="str">
        <f t="shared" si="0"/>
        <v>2026</v>
      </c>
      <c r="J2" s="3" t="str">
        <f t="shared" si="0"/>
        <v>2027</v>
      </c>
      <c r="K2" s="3" t="str">
        <f t="shared" si="0"/>
        <v>2027</v>
      </c>
      <c r="L2" s="3" t="str">
        <f t="shared" si="0"/>
        <v>2027</v>
      </c>
      <c r="M2" s="3" t="str">
        <f t="shared" si="0"/>
        <v>2027</v>
      </c>
      <c r="N2" s="3" t="str">
        <f t="shared" si="0"/>
        <v>2027</v>
      </c>
      <c r="O2" s="3" t="str">
        <f t="shared" si="0"/>
        <v>2027</v>
      </c>
      <c r="P2" s="3" t="str">
        <f t="shared" si="0"/>
        <v>2027</v>
      </c>
      <c r="Q2" s="3" t="str">
        <f t="shared" si="0"/>
        <v>2027</v>
      </c>
      <c r="R2" s="3" t="str">
        <f t="shared" si="0"/>
        <v>2027</v>
      </c>
      <c r="S2" s="3" t="str">
        <f t="shared" si="0"/>
        <v>2027</v>
      </c>
      <c r="T2" s="3" t="str">
        <f t="shared" si="0"/>
        <v>2027</v>
      </c>
      <c r="U2" s="3" t="str">
        <f t="shared" si="0"/>
        <v>2027</v>
      </c>
      <c r="V2" s="3" t="str">
        <f t="shared" si="0"/>
        <v>2028</v>
      </c>
      <c r="W2" s="3" t="str">
        <f t="shared" si="0"/>
        <v>2028</v>
      </c>
      <c r="X2" s="3" t="str">
        <f t="shared" si="0"/>
        <v>2028</v>
      </c>
      <c r="Y2" s="3" t="str">
        <f t="shared" si="0"/>
        <v>2028</v>
      </c>
      <c r="Z2" s="3" t="str">
        <f t="shared" si="0"/>
        <v>2028</v>
      </c>
      <c r="AA2" s="3" t="str">
        <f t="shared" si="0"/>
        <v>2028</v>
      </c>
      <c r="AB2" s="3" t="str">
        <f t="shared" si="0"/>
        <v>2028</v>
      </c>
      <c r="AC2" s="3" t="str">
        <f t="shared" si="0"/>
        <v>2028</v>
      </c>
      <c r="AD2" s="3" t="str">
        <f t="shared" si="0"/>
        <v>2028</v>
      </c>
      <c r="AE2" s="3" t="str">
        <f t="shared" si="0"/>
        <v>2028</v>
      </c>
      <c r="AF2" s="3" t="str">
        <f t="shared" si="0"/>
        <v>2028</v>
      </c>
      <c r="AG2" s="3" t="str">
        <f t="shared" si="0"/>
        <v>2028</v>
      </c>
      <c r="AH2" s="3" t="str">
        <f t="shared" si="0"/>
        <v>2029</v>
      </c>
      <c r="AI2" s="3" t="str">
        <f t="shared" si="0"/>
        <v>2029</v>
      </c>
      <c r="AJ2" s="3" t="str">
        <f t="shared" si="0"/>
        <v>2029</v>
      </c>
      <c r="AK2" s="3" t="str">
        <f t="shared" si="0"/>
        <v>2029</v>
      </c>
      <c r="AL2" s="3" t="str">
        <f t="shared" si="0"/>
        <v>2029</v>
      </c>
      <c r="AM2" s="3" t="str">
        <f t="shared" si="0"/>
        <v>2029</v>
      </c>
      <c r="AN2" s="3" t="str">
        <f t="shared" si="0"/>
        <v>2029</v>
      </c>
      <c r="AO2" s="3" t="str">
        <f t="shared" si="0"/>
        <v>2029</v>
      </c>
      <c r="AP2" s="3" t="str">
        <f t="shared" si="0"/>
        <v>2029</v>
      </c>
      <c r="AQ2" s="3" t="str">
        <f t="shared" si="0"/>
        <v>2029</v>
      </c>
      <c r="AR2" s="3" t="str">
        <f t="shared" si="0"/>
        <v>2029</v>
      </c>
      <c r="AS2" s="3" t="str">
        <f t="shared" si="0"/>
        <v>2029</v>
      </c>
      <c r="AT2" s="3" t="str">
        <f t="shared" si="0"/>
        <v>2030</v>
      </c>
      <c r="AU2" s="3" t="str">
        <f t="shared" si="0"/>
        <v>2030</v>
      </c>
      <c r="AV2" s="3" t="str">
        <f t="shared" si="0"/>
        <v>2030</v>
      </c>
      <c r="AW2" s="3" t="str">
        <f t="shared" si="0"/>
        <v>2030</v>
      </c>
      <c r="AX2" s="3" t="str">
        <f t="shared" si="0"/>
        <v>2030</v>
      </c>
      <c r="AY2" s="3" t="str">
        <f t="shared" si="0"/>
        <v>2030</v>
      </c>
      <c r="AZ2" s="3" t="str">
        <f t="shared" si="0"/>
        <v>2030</v>
      </c>
      <c r="BA2" s="3" t="str">
        <f t="shared" si="0"/>
        <v>2030</v>
      </c>
      <c r="BB2" s="3" t="str">
        <f t="shared" si="0"/>
        <v>2030</v>
      </c>
      <c r="BC2" s="3" t="str">
        <f t="shared" si="0"/>
        <v>2030</v>
      </c>
      <c r="BD2" s="3" t="str">
        <f t="shared" si="0"/>
        <v>2030</v>
      </c>
      <c r="BE2" s="3" t="str">
        <f t="shared" si="0"/>
        <v>2030</v>
      </c>
      <c r="BF2" s="3" t="str">
        <f t="shared" si="0"/>
        <v>2031</v>
      </c>
      <c r="BG2" s="3" t="str">
        <f t="shared" si="0"/>
        <v>2031</v>
      </c>
      <c r="BH2" s="3" t="str">
        <f t="shared" si="0"/>
        <v>2031</v>
      </c>
      <c r="BI2" s="3" t="str">
        <f t="shared" si="0"/>
        <v>2031</v>
      </c>
      <c r="BJ2" s="3" t="str">
        <f t="shared" si="0"/>
        <v>2031</v>
      </c>
    </row>
    <row r="3" spans="1:82" ht="15" customHeight="1" x14ac:dyDescent="0.3">
      <c r="A3" s="185"/>
      <c r="B3" s="185"/>
      <c r="C3" s="185" t="s">
        <v>74</v>
      </c>
      <c r="D3" s="185" t="s">
        <v>75</v>
      </c>
      <c r="E3" s="185" t="s">
        <v>76</v>
      </c>
      <c r="F3" s="185" t="s">
        <v>77</v>
      </c>
      <c r="G3" s="185" t="s">
        <v>78</v>
      </c>
      <c r="H3" s="185" t="s">
        <v>79</v>
      </c>
      <c r="I3" s="185" t="s">
        <v>80</v>
      </c>
      <c r="J3" s="185" t="s">
        <v>81</v>
      </c>
      <c r="K3" s="185" t="s">
        <v>82</v>
      </c>
      <c r="L3" s="185" t="s">
        <v>83</v>
      </c>
      <c r="M3" s="185" t="s">
        <v>84</v>
      </c>
      <c r="N3" s="185" t="s">
        <v>85</v>
      </c>
      <c r="O3" s="185" t="s">
        <v>86</v>
      </c>
      <c r="P3" s="185" t="s">
        <v>87</v>
      </c>
      <c r="Q3" s="185" t="s">
        <v>88</v>
      </c>
      <c r="R3" s="185" t="s">
        <v>89</v>
      </c>
      <c r="S3" s="185" t="s">
        <v>90</v>
      </c>
      <c r="T3" s="185" t="s">
        <v>91</v>
      </c>
      <c r="U3" s="185" t="s">
        <v>92</v>
      </c>
      <c r="V3" s="185" t="s">
        <v>93</v>
      </c>
      <c r="W3" s="185" t="s">
        <v>94</v>
      </c>
      <c r="X3" s="185" t="s">
        <v>95</v>
      </c>
      <c r="Y3" s="185" t="s">
        <v>96</v>
      </c>
      <c r="Z3" s="185" t="s">
        <v>97</v>
      </c>
      <c r="AA3" s="185" t="s">
        <v>98</v>
      </c>
      <c r="AB3" s="185" t="s">
        <v>99</v>
      </c>
      <c r="AC3" s="185" t="s">
        <v>100</v>
      </c>
      <c r="AD3" s="185" t="s">
        <v>101</v>
      </c>
      <c r="AE3" s="185" t="s">
        <v>102</v>
      </c>
      <c r="AF3" s="185" t="s">
        <v>103</v>
      </c>
      <c r="AG3" s="185" t="s">
        <v>104</v>
      </c>
      <c r="AH3" s="185" t="s">
        <v>105</v>
      </c>
      <c r="AI3" s="185" t="s">
        <v>106</v>
      </c>
      <c r="AJ3" s="185" t="s">
        <v>107</v>
      </c>
      <c r="AK3" s="185" t="s">
        <v>108</v>
      </c>
      <c r="AL3" s="185" t="s">
        <v>109</v>
      </c>
      <c r="AM3" s="185" t="s">
        <v>110</v>
      </c>
      <c r="AN3" s="185" t="s">
        <v>111</v>
      </c>
      <c r="AO3" s="185" t="s">
        <v>112</v>
      </c>
      <c r="AP3" s="185" t="s">
        <v>113</v>
      </c>
      <c r="AQ3" s="185" t="s">
        <v>114</v>
      </c>
      <c r="AR3" s="185" t="s">
        <v>115</v>
      </c>
      <c r="AS3" s="185" t="s">
        <v>116</v>
      </c>
      <c r="AT3" s="185" t="s">
        <v>117</v>
      </c>
      <c r="AU3" s="185" t="s">
        <v>118</v>
      </c>
      <c r="AV3" s="185" t="s">
        <v>119</v>
      </c>
      <c r="AW3" s="185" t="s">
        <v>120</v>
      </c>
      <c r="AX3" s="185" t="s">
        <v>121</v>
      </c>
      <c r="AY3" s="185" t="s">
        <v>122</v>
      </c>
      <c r="AZ3" s="185" t="s">
        <v>123</v>
      </c>
      <c r="BA3" s="185" t="s">
        <v>124</v>
      </c>
      <c r="BB3" s="185" t="s">
        <v>125</v>
      </c>
      <c r="BC3" s="185" t="s">
        <v>126</v>
      </c>
      <c r="BD3" s="185" t="s">
        <v>127</v>
      </c>
      <c r="BE3" s="185" t="s">
        <v>128</v>
      </c>
      <c r="BF3" s="185" t="s">
        <v>129</v>
      </c>
      <c r="BG3" s="185" t="s">
        <v>130</v>
      </c>
      <c r="BH3" s="185" t="s">
        <v>131</v>
      </c>
      <c r="BI3" s="185" t="s">
        <v>132</v>
      </c>
      <c r="BJ3" s="185" t="s">
        <v>133</v>
      </c>
      <c r="BK3" s="185"/>
      <c r="BL3" s="185"/>
      <c r="BM3" s="185"/>
      <c r="BN3" s="185"/>
      <c r="BO3" s="185"/>
      <c r="BP3" s="185"/>
      <c r="BQ3" s="185"/>
      <c r="BR3" s="185"/>
      <c r="BS3" s="185"/>
      <c r="BT3" s="185"/>
      <c r="BU3" s="185"/>
      <c r="BV3" s="185"/>
      <c r="BW3" s="185"/>
      <c r="BX3" s="185"/>
      <c r="BY3" s="185"/>
      <c r="BZ3" s="185"/>
      <c r="CA3" s="185"/>
      <c r="CB3" s="185"/>
      <c r="CC3" s="185"/>
      <c r="CD3" s="185"/>
    </row>
    <row r="4" spans="1:82" ht="14.4" x14ac:dyDescent="0.3">
      <c r="B4" s="186"/>
      <c r="C4" s="187">
        <v>46174</v>
      </c>
      <c r="D4" s="187">
        <f t="shared" ref="D4:BJ4" si="1">+EDATE(C4,1)</f>
        <v>46204</v>
      </c>
      <c r="E4" s="187">
        <f t="shared" si="1"/>
        <v>46235</v>
      </c>
      <c r="F4" s="187">
        <f t="shared" si="1"/>
        <v>46266</v>
      </c>
      <c r="G4" s="187">
        <f t="shared" si="1"/>
        <v>46296</v>
      </c>
      <c r="H4" s="187">
        <f t="shared" si="1"/>
        <v>46327</v>
      </c>
      <c r="I4" s="187">
        <f t="shared" si="1"/>
        <v>46357</v>
      </c>
      <c r="J4" s="187">
        <f t="shared" si="1"/>
        <v>46388</v>
      </c>
      <c r="K4" s="187">
        <f t="shared" si="1"/>
        <v>46419</v>
      </c>
      <c r="L4" s="187">
        <f t="shared" si="1"/>
        <v>46447</v>
      </c>
      <c r="M4" s="187">
        <f t="shared" si="1"/>
        <v>46478</v>
      </c>
      <c r="N4" s="187">
        <f t="shared" si="1"/>
        <v>46508</v>
      </c>
      <c r="O4" s="187">
        <f t="shared" si="1"/>
        <v>46539</v>
      </c>
      <c r="P4" s="187">
        <f t="shared" si="1"/>
        <v>46569</v>
      </c>
      <c r="Q4" s="187">
        <f t="shared" si="1"/>
        <v>46600</v>
      </c>
      <c r="R4" s="187">
        <f t="shared" si="1"/>
        <v>46631</v>
      </c>
      <c r="S4" s="187">
        <f t="shared" si="1"/>
        <v>46661</v>
      </c>
      <c r="T4" s="187">
        <f t="shared" si="1"/>
        <v>46692</v>
      </c>
      <c r="U4" s="187">
        <f t="shared" si="1"/>
        <v>46722</v>
      </c>
      <c r="V4" s="187">
        <f t="shared" si="1"/>
        <v>46753</v>
      </c>
      <c r="W4" s="187">
        <f t="shared" si="1"/>
        <v>46784</v>
      </c>
      <c r="X4" s="187">
        <f t="shared" si="1"/>
        <v>46813</v>
      </c>
      <c r="Y4" s="187">
        <f t="shared" si="1"/>
        <v>46844</v>
      </c>
      <c r="Z4" s="187">
        <f t="shared" si="1"/>
        <v>46874</v>
      </c>
      <c r="AA4" s="187">
        <f t="shared" si="1"/>
        <v>46905</v>
      </c>
      <c r="AB4" s="187">
        <f t="shared" si="1"/>
        <v>46935</v>
      </c>
      <c r="AC4" s="187">
        <f t="shared" si="1"/>
        <v>46966</v>
      </c>
      <c r="AD4" s="187">
        <f t="shared" si="1"/>
        <v>46997</v>
      </c>
      <c r="AE4" s="187">
        <f t="shared" si="1"/>
        <v>47027</v>
      </c>
      <c r="AF4" s="187">
        <f t="shared" si="1"/>
        <v>47058</v>
      </c>
      <c r="AG4" s="187">
        <f t="shared" si="1"/>
        <v>47088</v>
      </c>
      <c r="AH4" s="187">
        <f t="shared" si="1"/>
        <v>47119</v>
      </c>
      <c r="AI4" s="187">
        <f t="shared" si="1"/>
        <v>47150</v>
      </c>
      <c r="AJ4" s="187">
        <f t="shared" si="1"/>
        <v>47178</v>
      </c>
      <c r="AK4" s="187">
        <f t="shared" si="1"/>
        <v>47209</v>
      </c>
      <c r="AL4" s="187">
        <f t="shared" si="1"/>
        <v>47239</v>
      </c>
      <c r="AM4" s="187">
        <f t="shared" si="1"/>
        <v>47270</v>
      </c>
      <c r="AN4" s="187">
        <f t="shared" si="1"/>
        <v>47300</v>
      </c>
      <c r="AO4" s="187">
        <f t="shared" si="1"/>
        <v>47331</v>
      </c>
      <c r="AP4" s="187">
        <f t="shared" si="1"/>
        <v>47362</v>
      </c>
      <c r="AQ4" s="187">
        <f t="shared" si="1"/>
        <v>47392</v>
      </c>
      <c r="AR4" s="187">
        <f t="shared" si="1"/>
        <v>47423</v>
      </c>
      <c r="AS4" s="187">
        <f t="shared" si="1"/>
        <v>47453</v>
      </c>
      <c r="AT4" s="187">
        <f t="shared" si="1"/>
        <v>47484</v>
      </c>
      <c r="AU4" s="187">
        <f t="shared" si="1"/>
        <v>47515</v>
      </c>
      <c r="AV4" s="187">
        <f t="shared" si="1"/>
        <v>47543</v>
      </c>
      <c r="AW4" s="187">
        <f t="shared" si="1"/>
        <v>47574</v>
      </c>
      <c r="AX4" s="187">
        <f t="shared" si="1"/>
        <v>47604</v>
      </c>
      <c r="AY4" s="187">
        <f t="shared" si="1"/>
        <v>47635</v>
      </c>
      <c r="AZ4" s="187">
        <f t="shared" si="1"/>
        <v>47665</v>
      </c>
      <c r="BA4" s="187">
        <f t="shared" si="1"/>
        <v>47696</v>
      </c>
      <c r="BB4" s="187">
        <f t="shared" si="1"/>
        <v>47727</v>
      </c>
      <c r="BC4" s="187">
        <f t="shared" si="1"/>
        <v>47757</v>
      </c>
      <c r="BD4" s="187">
        <f t="shared" si="1"/>
        <v>47788</v>
      </c>
      <c r="BE4" s="187">
        <f t="shared" si="1"/>
        <v>47818</v>
      </c>
      <c r="BF4" s="187">
        <f t="shared" si="1"/>
        <v>47849</v>
      </c>
      <c r="BG4" s="187">
        <f t="shared" si="1"/>
        <v>47880</v>
      </c>
      <c r="BH4" s="187">
        <f t="shared" si="1"/>
        <v>47908</v>
      </c>
      <c r="BI4" s="187">
        <f t="shared" si="1"/>
        <v>47939</v>
      </c>
      <c r="BJ4" s="187">
        <f t="shared" si="1"/>
        <v>47969</v>
      </c>
    </row>
    <row r="5" spans="1:82" ht="14.4" outlineLevel="1" x14ac:dyDescent="0.3">
      <c r="A5" s="3"/>
      <c r="B5" s="18" t="s">
        <v>10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88"/>
      <c r="BG5" s="188"/>
      <c r="BH5" s="188"/>
      <c r="BI5" s="188"/>
      <c r="BJ5" s="188"/>
      <c r="BK5" s="3"/>
      <c r="BL5" s="3"/>
      <c r="BM5" s="3"/>
      <c r="BN5" s="3"/>
      <c r="BO5" s="3"/>
    </row>
    <row r="6" spans="1:82" ht="14.4" outlineLevel="1" x14ac:dyDescent="0.3">
      <c r="A6" s="10"/>
      <c r="B6" s="189" t="s">
        <v>135</v>
      </c>
      <c r="C6" s="190">
        <v>0</v>
      </c>
      <c r="D6" s="190">
        <v>0</v>
      </c>
      <c r="E6" s="190">
        <v>0</v>
      </c>
      <c r="F6" s="190">
        <v>0</v>
      </c>
      <c r="G6" s="190">
        <v>0</v>
      </c>
      <c r="H6" s="190">
        <v>0</v>
      </c>
      <c r="I6" s="190">
        <v>0</v>
      </c>
      <c r="J6" s="190">
        <v>0</v>
      </c>
      <c r="K6" s="190">
        <v>5</v>
      </c>
      <c r="L6" s="190">
        <v>5</v>
      </c>
      <c r="M6" s="190">
        <v>5</v>
      </c>
      <c r="N6" s="190">
        <v>5</v>
      </c>
      <c r="O6" s="190">
        <v>2</v>
      </c>
      <c r="P6" s="190">
        <v>2</v>
      </c>
      <c r="Q6" s="190">
        <v>2</v>
      </c>
      <c r="R6" s="190">
        <v>2</v>
      </c>
      <c r="S6" s="190">
        <v>2</v>
      </c>
      <c r="T6" s="190">
        <v>2</v>
      </c>
      <c r="U6" s="190">
        <v>2</v>
      </c>
      <c r="V6" s="190">
        <v>2</v>
      </c>
      <c r="W6" s="190">
        <v>2</v>
      </c>
      <c r="X6" s="190">
        <v>2</v>
      </c>
      <c r="Y6" s="190">
        <v>2</v>
      </c>
      <c r="Z6" s="190">
        <v>2</v>
      </c>
      <c r="AA6" s="190">
        <v>1</v>
      </c>
      <c r="AB6" s="190">
        <v>0</v>
      </c>
      <c r="AC6" s="190">
        <v>0</v>
      </c>
      <c r="AD6" s="190">
        <v>0</v>
      </c>
      <c r="AE6" s="190">
        <v>0</v>
      </c>
      <c r="AF6" s="190">
        <v>0</v>
      </c>
      <c r="AG6" s="190">
        <v>0</v>
      </c>
      <c r="AH6" s="190">
        <v>0</v>
      </c>
      <c r="AI6" s="190">
        <v>0</v>
      </c>
      <c r="AJ6" s="190">
        <v>0</v>
      </c>
      <c r="AK6" s="190">
        <v>0</v>
      </c>
      <c r="AL6" s="190">
        <v>0</v>
      </c>
      <c r="AM6" s="190">
        <v>0</v>
      </c>
      <c r="AN6" s="190">
        <v>0</v>
      </c>
      <c r="AO6" s="190">
        <v>0</v>
      </c>
      <c r="AP6" s="190">
        <v>0</v>
      </c>
      <c r="AQ6" s="190">
        <v>0</v>
      </c>
      <c r="AR6" s="190">
        <v>0</v>
      </c>
      <c r="AS6" s="190">
        <v>0</v>
      </c>
      <c r="AT6" s="190">
        <v>0</v>
      </c>
      <c r="AU6" s="190">
        <v>0</v>
      </c>
      <c r="AV6" s="190">
        <v>0</v>
      </c>
      <c r="AW6" s="190">
        <v>0</v>
      </c>
      <c r="AX6" s="190">
        <v>0</v>
      </c>
      <c r="AY6" s="190">
        <v>0</v>
      </c>
      <c r="AZ6" s="190">
        <v>0</v>
      </c>
      <c r="BA6" s="190">
        <v>0</v>
      </c>
      <c r="BB6" s="190">
        <v>0</v>
      </c>
      <c r="BC6" s="190">
        <v>0</v>
      </c>
      <c r="BD6" s="190">
        <v>0</v>
      </c>
      <c r="BE6" s="190">
        <v>0</v>
      </c>
      <c r="BF6" s="190">
        <v>0</v>
      </c>
      <c r="BG6" s="190">
        <v>0</v>
      </c>
      <c r="BH6" s="190">
        <v>0</v>
      </c>
      <c r="BI6" s="190">
        <v>0</v>
      </c>
      <c r="BJ6" s="190">
        <v>0</v>
      </c>
      <c r="BK6" s="15">
        <f>SUM(C6:BJ6)</f>
        <v>45</v>
      </c>
      <c r="BL6" s="10"/>
      <c r="BM6" s="10"/>
      <c r="BN6" s="15"/>
      <c r="BO6" s="10"/>
    </row>
    <row r="7" spans="1:82" ht="14.4" outlineLevel="1" x14ac:dyDescent="0.3">
      <c r="A7" s="10"/>
      <c r="B7" s="191" t="s">
        <v>136</v>
      </c>
      <c r="C7" s="190">
        <f>+C6</f>
        <v>0</v>
      </c>
      <c r="D7" s="190">
        <f t="shared" ref="D7:BJ7" si="2">+C7+D6</f>
        <v>0</v>
      </c>
      <c r="E7" s="190">
        <f t="shared" si="2"/>
        <v>0</v>
      </c>
      <c r="F7" s="190">
        <f t="shared" si="2"/>
        <v>0</v>
      </c>
      <c r="G7" s="190">
        <f t="shared" si="2"/>
        <v>0</v>
      </c>
      <c r="H7" s="190">
        <f t="shared" si="2"/>
        <v>0</v>
      </c>
      <c r="I7" s="190">
        <f t="shared" si="2"/>
        <v>0</v>
      </c>
      <c r="J7" s="190">
        <f t="shared" si="2"/>
        <v>0</v>
      </c>
      <c r="K7" s="190">
        <f t="shared" si="2"/>
        <v>5</v>
      </c>
      <c r="L7" s="190">
        <f t="shared" si="2"/>
        <v>10</v>
      </c>
      <c r="M7" s="190">
        <f t="shared" si="2"/>
        <v>15</v>
      </c>
      <c r="N7" s="190">
        <f t="shared" si="2"/>
        <v>20</v>
      </c>
      <c r="O7" s="190">
        <f t="shared" si="2"/>
        <v>22</v>
      </c>
      <c r="P7" s="190">
        <f t="shared" si="2"/>
        <v>24</v>
      </c>
      <c r="Q7" s="190">
        <f t="shared" si="2"/>
        <v>26</v>
      </c>
      <c r="R7" s="190">
        <f t="shared" si="2"/>
        <v>28</v>
      </c>
      <c r="S7" s="190">
        <f t="shared" si="2"/>
        <v>30</v>
      </c>
      <c r="T7" s="190">
        <f t="shared" si="2"/>
        <v>32</v>
      </c>
      <c r="U7" s="190">
        <f t="shared" si="2"/>
        <v>34</v>
      </c>
      <c r="V7" s="190">
        <f t="shared" si="2"/>
        <v>36</v>
      </c>
      <c r="W7" s="190">
        <f t="shared" si="2"/>
        <v>38</v>
      </c>
      <c r="X7" s="190">
        <f t="shared" si="2"/>
        <v>40</v>
      </c>
      <c r="Y7" s="190">
        <f t="shared" si="2"/>
        <v>42</v>
      </c>
      <c r="Z7" s="190">
        <f t="shared" si="2"/>
        <v>44</v>
      </c>
      <c r="AA7" s="190">
        <f t="shared" si="2"/>
        <v>45</v>
      </c>
      <c r="AB7" s="190">
        <f t="shared" si="2"/>
        <v>45</v>
      </c>
      <c r="AC7" s="190">
        <f t="shared" si="2"/>
        <v>45</v>
      </c>
      <c r="AD7" s="190">
        <f t="shared" si="2"/>
        <v>45</v>
      </c>
      <c r="AE7" s="190">
        <f t="shared" si="2"/>
        <v>45</v>
      </c>
      <c r="AF7" s="190">
        <f t="shared" si="2"/>
        <v>45</v>
      </c>
      <c r="AG7" s="190">
        <f t="shared" si="2"/>
        <v>45</v>
      </c>
      <c r="AH7" s="190">
        <f t="shared" si="2"/>
        <v>45</v>
      </c>
      <c r="AI7" s="190">
        <f t="shared" si="2"/>
        <v>45</v>
      </c>
      <c r="AJ7" s="190">
        <f t="shared" si="2"/>
        <v>45</v>
      </c>
      <c r="AK7" s="190">
        <f t="shared" si="2"/>
        <v>45</v>
      </c>
      <c r="AL7" s="190">
        <f t="shared" si="2"/>
        <v>45</v>
      </c>
      <c r="AM7" s="190">
        <f t="shared" si="2"/>
        <v>45</v>
      </c>
      <c r="AN7" s="190">
        <f t="shared" si="2"/>
        <v>45</v>
      </c>
      <c r="AO7" s="190">
        <f t="shared" si="2"/>
        <v>45</v>
      </c>
      <c r="AP7" s="190">
        <f t="shared" si="2"/>
        <v>45</v>
      </c>
      <c r="AQ7" s="190">
        <f t="shared" si="2"/>
        <v>45</v>
      </c>
      <c r="AR7" s="190">
        <f t="shared" si="2"/>
        <v>45</v>
      </c>
      <c r="AS7" s="190">
        <f t="shared" si="2"/>
        <v>45</v>
      </c>
      <c r="AT7" s="190">
        <f t="shared" si="2"/>
        <v>45</v>
      </c>
      <c r="AU7" s="190">
        <f t="shared" si="2"/>
        <v>45</v>
      </c>
      <c r="AV7" s="190">
        <f t="shared" si="2"/>
        <v>45</v>
      </c>
      <c r="AW7" s="190">
        <f t="shared" si="2"/>
        <v>45</v>
      </c>
      <c r="AX7" s="190">
        <f t="shared" si="2"/>
        <v>45</v>
      </c>
      <c r="AY7" s="190">
        <f t="shared" si="2"/>
        <v>45</v>
      </c>
      <c r="AZ7" s="190">
        <f t="shared" si="2"/>
        <v>45</v>
      </c>
      <c r="BA7" s="190">
        <f t="shared" si="2"/>
        <v>45</v>
      </c>
      <c r="BB7" s="190">
        <f t="shared" si="2"/>
        <v>45</v>
      </c>
      <c r="BC7" s="190">
        <f t="shared" si="2"/>
        <v>45</v>
      </c>
      <c r="BD7" s="190">
        <f t="shared" si="2"/>
        <v>45</v>
      </c>
      <c r="BE7" s="190">
        <f t="shared" si="2"/>
        <v>45</v>
      </c>
      <c r="BF7" s="190">
        <f t="shared" si="2"/>
        <v>45</v>
      </c>
      <c r="BG7" s="190">
        <f t="shared" si="2"/>
        <v>45</v>
      </c>
      <c r="BH7" s="190">
        <f t="shared" si="2"/>
        <v>45</v>
      </c>
      <c r="BI7" s="190">
        <f t="shared" si="2"/>
        <v>45</v>
      </c>
      <c r="BJ7" s="190">
        <f t="shared" si="2"/>
        <v>45</v>
      </c>
      <c r="BK7" s="10"/>
      <c r="BL7" s="10"/>
      <c r="BM7" s="10"/>
      <c r="BN7" s="15"/>
      <c r="BO7" s="10"/>
    </row>
    <row r="8" spans="1:82" ht="14.4" outlineLevel="1" x14ac:dyDescent="0.3">
      <c r="A8" s="10"/>
      <c r="B8" s="90"/>
      <c r="C8" s="192">
        <v>0</v>
      </c>
      <c r="D8" s="192">
        <v>0</v>
      </c>
      <c r="E8" s="192">
        <v>0</v>
      </c>
      <c r="F8" s="192">
        <v>0</v>
      </c>
      <c r="G8" s="192">
        <v>0</v>
      </c>
      <c r="H8" s="192">
        <v>0</v>
      </c>
      <c r="I8" s="192">
        <v>0</v>
      </c>
      <c r="J8" s="192">
        <v>0</v>
      </c>
      <c r="K8" s="192">
        <v>3.3333333333333333E-2</v>
      </c>
      <c r="L8" s="192">
        <v>6.6666666666666666E-2</v>
      </c>
      <c r="M8" s="192">
        <v>0.1</v>
      </c>
      <c r="N8" s="192">
        <v>0.13333333333333333</v>
      </c>
      <c r="O8" s="192">
        <v>0.14666666666666667</v>
      </c>
      <c r="P8" s="192">
        <v>0.16</v>
      </c>
      <c r="Q8" s="192">
        <v>0.17333333333333334</v>
      </c>
      <c r="R8" s="192">
        <v>0.18666666666666668</v>
      </c>
      <c r="S8" s="192">
        <v>0.2</v>
      </c>
      <c r="T8" s="192">
        <v>0.21333333333333335</v>
      </c>
      <c r="U8" s="192">
        <v>0.22666666666666666</v>
      </c>
      <c r="V8" s="192">
        <v>0.24</v>
      </c>
      <c r="W8" s="192">
        <v>0.25333333333333335</v>
      </c>
      <c r="X8" s="192">
        <v>0.26666666666666666</v>
      </c>
      <c r="Y8" s="192">
        <v>0.28000000000000003</v>
      </c>
      <c r="Z8" s="192">
        <v>0.29333333333333333</v>
      </c>
      <c r="AA8" s="192">
        <v>0.3</v>
      </c>
      <c r="AB8" s="192">
        <v>0.3</v>
      </c>
      <c r="AC8" s="192">
        <v>0.3</v>
      </c>
      <c r="AD8" s="192">
        <v>0.3</v>
      </c>
      <c r="AE8" s="192">
        <v>0.3</v>
      </c>
      <c r="AF8" s="192">
        <v>0.3</v>
      </c>
      <c r="AG8" s="192">
        <v>0.3</v>
      </c>
      <c r="AH8" s="192">
        <v>0.3</v>
      </c>
      <c r="AI8" s="192">
        <v>0.3</v>
      </c>
      <c r="AJ8" s="192">
        <v>0.3</v>
      </c>
      <c r="AK8" s="192">
        <v>0.3</v>
      </c>
      <c r="AL8" s="192">
        <v>0.3</v>
      </c>
      <c r="AM8" s="192">
        <v>0.3</v>
      </c>
      <c r="AN8" s="192">
        <v>0.3</v>
      </c>
      <c r="AO8" s="192">
        <v>0.3</v>
      </c>
      <c r="AP8" s="192">
        <v>0.3</v>
      </c>
      <c r="AQ8" s="192">
        <v>0.3</v>
      </c>
      <c r="AR8" s="192">
        <v>0.3</v>
      </c>
      <c r="AS8" s="192">
        <v>0.3</v>
      </c>
      <c r="AT8" s="192">
        <v>0.3</v>
      </c>
      <c r="AU8" s="192">
        <v>0.3</v>
      </c>
      <c r="AV8" s="192">
        <v>0.3</v>
      </c>
      <c r="AW8" s="192">
        <v>0.3</v>
      </c>
      <c r="AX8" s="192">
        <v>0.3</v>
      </c>
      <c r="AY8" s="192">
        <v>0.3</v>
      </c>
      <c r="AZ8" s="192">
        <v>0.3</v>
      </c>
      <c r="BA8" s="192">
        <v>0.3</v>
      </c>
      <c r="BB8" s="192">
        <v>0.3</v>
      </c>
      <c r="BC8" s="192">
        <v>0.3</v>
      </c>
      <c r="BD8" s="192">
        <v>0.3</v>
      </c>
      <c r="BE8" s="192">
        <v>0.3</v>
      </c>
      <c r="BF8" s="192">
        <v>0.3</v>
      </c>
      <c r="BG8" s="192">
        <v>0.3</v>
      </c>
      <c r="BH8" s="192">
        <v>0.3</v>
      </c>
      <c r="BI8" s="192">
        <v>0.3</v>
      </c>
      <c r="BJ8" s="192">
        <v>0.3</v>
      </c>
      <c r="BK8" s="10"/>
      <c r="BL8" s="10"/>
      <c r="BM8" s="10"/>
      <c r="BN8" s="15"/>
      <c r="BO8" s="10"/>
    </row>
    <row r="9" spans="1:82" ht="14.4" outlineLevel="1" x14ac:dyDescent="0.3">
      <c r="A9" s="3"/>
      <c r="B9" s="18" t="s">
        <v>14</v>
      </c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8"/>
      <c r="BG9" s="188"/>
      <c r="BH9" s="188"/>
      <c r="BI9" s="188"/>
      <c r="BJ9" s="188"/>
      <c r="BK9" s="3"/>
      <c r="BL9" s="6"/>
      <c r="BM9" s="3"/>
      <c r="BN9" s="3"/>
      <c r="BO9" s="3"/>
    </row>
    <row r="10" spans="1:82" ht="14.4" outlineLevel="1" x14ac:dyDescent="0.3">
      <c r="A10" s="10"/>
      <c r="B10" s="189" t="s">
        <v>135</v>
      </c>
      <c r="C10" s="190">
        <v>0</v>
      </c>
      <c r="D10" s="190">
        <v>0</v>
      </c>
      <c r="E10" s="190">
        <v>0</v>
      </c>
      <c r="F10" s="190">
        <v>0</v>
      </c>
      <c r="G10" s="190">
        <v>0</v>
      </c>
      <c r="H10" s="190">
        <v>0</v>
      </c>
      <c r="I10" s="190">
        <v>0</v>
      </c>
      <c r="J10" s="190">
        <v>0</v>
      </c>
      <c r="K10" s="190">
        <v>10</v>
      </c>
      <c r="L10" s="190">
        <v>20</v>
      </c>
      <c r="M10" s="190">
        <v>30</v>
      </c>
      <c r="N10" s="190">
        <v>40</v>
      </c>
      <c r="O10" s="190">
        <v>50</v>
      </c>
      <c r="P10" s="190">
        <v>60</v>
      </c>
      <c r="Q10" s="190">
        <v>70</v>
      </c>
      <c r="R10" s="190">
        <v>80</v>
      </c>
      <c r="S10" s="190">
        <v>90</v>
      </c>
      <c r="T10" s="190">
        <v>97</v>
      </c>
      <c r="U10" s="190">
        <v>97</v>
      </c>
      <c r="V10" s="190">
        <v>97</v>
      </c>
      <c r="W10" s="190">
        <v>97</v>
      </c>
      <c r="X10" s="190">
        <v>97</v>
      </c>
      <c r="Y10" s="190">
        <v>97</v>
      </c>
      <c r="Z10" s="190">
        <v>97</v>
      </c>
      <c r="AA10" s="190">
        <v>97</v>
      </c>
      <c r="AB10" s="190">
        <v>91</v>
      </c>
      <c r="AC10" s="190">
        <v>87</v>
      </c>
      <c r="AD10" s="190">
        <v>87</v>
      </c>
      <c r="AE10" s="190">
        <v>87</v>
      </c>
      <c r="AF10" s="190">
        <v>87</v>
      </c>
      <c r="AG10" s="190">
        <v>87</v>
      </c>
      <c r="AH10" s="190">
        <v>87</v>
      </c>
      <c r="AI10" s="190">
        <v>87</v>
      </c>
      <c r="AJ10" s="190">
        <v>87</v>
      </c>
      <c r="AK10" s="190">
        <v>87</v>
      </c>
      <c r="AL10" s="190">
        <v>87</v>
      </c>
      <c r="AM10" s="190">
        <v>87</v>
      </c>
      <c r="AN10" s="190">
        <v>71</v>
      </c>
      <c r="AO10" s="190">
        <v>55</v>
      </c>
      <c r="AP10" s="190">
        <v>39</v>
      </c>
      <c r="AQ10" s="190">
        <v>23</v>
      </c>
      <c r="AR10" s="190">
        <v>7</v>
      </c>
      <c r="AS10" s="190">
        <v>0</v>
      </c>
      <c r="AT10" s="190">
        <v>0</v>
      </c>
      <c r="AU10" s="190">
        <v>0</v>
      </c>
      <c r="AV10" s="190">
        <v>0</v>
      </c>
      <c r="AW10" s="190">
        <v>0</v>
      </c>
      <c r="AX10" s="190">
        <v>0</v>
      </c>
      <c r="AY10" s="190">
        <v>0</v>
      </c>
      <c r="AZ10" s="190">
        <v>0</v>
      </c>
      <c r="BA10" s="190">
        <v>0</v>
      </c>
      <c r="BB10" s="190">
        <v>0</v>
      </c>
      <c r="BC10" s="190">
        <v>0</v>
      </c>
      <c r="BD10" s="190">
        <v>0</v>
      </c>
      <c r="BE10" s="190">
        <v>0</v>
      </c>
      <c r="BF10" s="190">
        <v>0</v>
      </c>
      <c r="BG10" s="190">
        <v>0</v>
      </c>
      <c r="BH10" s="190">
        <v>0</v>
      </c>
      <c r="BI10" s="190">
        <v>0</v>
      </c>
      <c r="BJ10" s="190">
        <v>0</v>
      </c>
      <c r="BK10" s="15">
        <f>SUM(C10:BJ10)</f>
        <v>2469</v>
      </c>
      <c r="BL10" s="15"/>
      <c r="BM10" s="10"/>
      <c r="BN10" s="15"/>
      <c r="BO10" s="10"/>
      <c r="BP10" s="6"/>
    </row>
    <row r="11" spans="1:82" ht="14.4" outlineLevel="1" x14ac:dyDescent="0.3">
      <c r="A11" s="10"/>
      <c r="B11" s="191" t="s">
        <v>136</v>
      </c>
      <c r="C11" s="190">
        <f>+C10</f>
        <v>0</v>
      </c>
      <c r="D11" s="190">
        <f t="shared" ref="D11:BJ11" si="3">+C11+D10</f>
        <v>0</v>
      </c>
      <c r="E11" s="190">
        <f t="shared" si="3"/>
        <v>0</v>
      </c>
      <c r="F11" s="190">
        <f t="shared" si="3"/>
        <v>0</v>
      </c>
      <c r="G11" s="190">
        <f t="shared" si="3"/>
        <v>0</v>
      </c>
      <c r="H11" s="190">
        <f t="shared" si="3"/>
        <v>0</v>
      </c>
      <c r="I11" s="190">
        <f t="shared" si="3"/>
        <v>0</v>
      </c>
      <c r="J11" s="190">
        <f t="shared" si="3"/>
        <v>0</v>
      </c>
      <c r="K11" s="190">
        <f t="shared" si="3"/>
        <v>10</v>
      </c>
      <c r="L11" s="190">
        <f t="shared" si="3"/>
        <v>30</v>
      </c>
      <c r="M11" s="190">
        <f t="shared" si="3"/>
        <v>60</v>
      </c>
      <c r="N11" s="190">
        <f t="shared" si="3"/>
        <v>100</v>
      </c>
      <c r="O11" s="190">
        <f t="shared" si="3"/>
        <v>150</v>
      </c>
      <c r="P11" s="190">
        <f t="shared" si="3"/>
        <v>210</v>
      </c>
      <c r="Q11" s="190">
        <f t="shared" si="3"/>
        <v>280</v>
      </c>
      <c r="R11" s="190">
        <f t="shared" si="3"/>
        <v>360</v>
      </c>
      <c r="S11" s="190">
        <f t="shared" si="3"/>
        <v>450</v>
      </c>
      <c r="T11" s="190">
        <f t="shared" si="3"/>
        <v>547</v>
      </c>
      <c r="U11" s="190">
        <f t="shared" si="3"/>
        <v>644</v>
      </c>
      <c r="V11" s="190">
        <f t="shared" si="3"/>
        <v>741</v>
      </c>
      <c r="W11" s="190">
        <f t="shared" si="3"/>
        <v>838</v>
      </c>
      <c r="X11" s="190">
        <f t="shared" si="3"/>
        <v>935</v>
      </c>
      <c r="Y11" s="190">
        <f t="shared" si="3"/>
        <v>1032</v>
      </c>
      <c r="Z11" s="190">
        <f t="shared" si="3"/>
        <v>1129</v>
      </c>
      <c r="AA11" s="190">
        <f t="shared" si="3"/>
        <v>1226</v>
      </c>
      <c r="AB11" s="190">
        <f t="shared" si="3"/>
        <v>1317</v>
      </c>
      <c r="AC11" s="190">
        <f t="shared" si="3"/>
        <v>1404</v>
      </c>
      <c r="AD11" s="190">
        <f t="shared" si="3"/>
        <v>1491</v>
      </c>
      <c r="AE11" s="190">
        <f t="shared" si="3"/>
        <v>1578</v>
      </c>
      <c r="AF11" s="190">
        <f t="shared" si="3"/>
        <v>1665</v>
      </c>
      <c r="AG11" s="190">
        <f t="shared" si="3"/>
        <v>1752</v>
      </c>
      <c r="AH11" s="190">
        <f t="shared" si="3"/>
        <v>1839</v>
      </c>
      <c r="AI11" s="190">
        <f t="shared" si="3"/>
        <v>1926</v>
      </c>
      <c r="AJ11" s="190">
        <f t="shared" si="3"/>
        <v>2013</v>
      </c>
      <c r="AK11" s="190">
        <f t="shared" si="3"/>
        <v>2100</v>
      </c>
      <c r="AL11" s="190">
        <f t="shared" si="3"/>
        <v>2187</v>
      </c>
      <c r="AM11" s="190">
        <f t="shared" si="3"/>
        <v>2274</v>
      </c>
      <c r="AN11" s="190">
        <f t="shared" si="3"/>
        <v>2345</v>
      </c>
      <c r="AO11" s="190">
        <f t="shared" si="3"/>
        <v>2400</v>
      </c>
      <c r="AP11" s="190">
        <f t="shared" si="3"/>
        <v>2439</v>
      </c>
      <c r="AQ11" s="190">
        <f t="shared" si="3"/>
        <v>2462</v>
      </c>
      <c r="AR11" s="190">
        <f t="shared" si="3"/>
        <v>2469</v>
      </c>
      <c r="AS11" s="190">
        <f t="shared" si="3"/>
        <v>2469</v>
      </c>
      <c r="AT11" s="190">
        <f t="shared" si="3"/>
        <v>2469</v>
      </c>
      <c r="AU11" s="190">
        <f t="shared" si="3"/>
        <v>2469</v>
      </c>
      <c r="AV11" s="190">
        <f t="shared" si="3"/>
        <v>2469</v>
      </c>
      <c r="AW11" s="190">
        <f t="shared" si="3"/>
        <v>2469</v>
      </c>
      <c r="AX11" s="190">
        <f t="shared" si="3"/>
        <v>2469</v>
      </c>
      <c r="AY11" s="190">
        <f t="shared" si="3"/>
        <v>2469</v>
      </c>
      <c r="AZ11" s="190">
        <f t="shared" si="3"/>
        <v>2469</v>
      </c>
      <c r="BA11" s="190">
        <f t="shared" si="3"/>
        <v>2469</v>
      </c>
      <c r="BB11" s="190">
        <f t="shared" si="3"/>
        <v>2469</v>
      </c>
      <c r="BC11" s="190">
        <f t="shared" si="3"/>
        <v>2469</v>
      </c>
      <c r="BD11" s="190">
        <f t="shared" si="3"/>
        <v>2469</v>
      </c>
      <c r="BE11" s="190">
        <f t="shared" si="3"/>
        <v>2469</v>
      </c>
      <c r="BF11" s="190">
        <f t="shared" si="3"/>
        <v>2469</v>
      </c>
      <c r="BG11" s="190">
        <f t="shared" si="3"/>
        <v>2469</v>
      </c>
      <c r="BH11" s="190">
        <f t="shared" si="3"/>
        <v>2469</v>
      </c>
      <c r="BI11" s="190">
        <f t="shared" si="3"/>
        <v>2469</v>
      </c>
      <c r="BJ11" s="190">
        <f t="shared" si="3"/>
        <v>2469</v>
      </c>
      <c r="BK11" s="10"/>
      <c r="BL11" s="15"/>
      <c r="BM11" s="10"/>
      <c r="BN11" s="15"/>
      <c r="BO11" s="10"/>
      <c r="BP11" s="6"/>
    </row>
    <row r="12" spans="1:82" ht="14.4" outlineLevel="1" x14ac:dyDescent="0.3">
      <c r="A12" s="10"/>
      <c r="B12" s="90"/>
      <c r="C12" s="192">
        <v>0</v>
      </c>
      <c r="D12" s="192">
        <v>0</v>
      </c>
      <c r="E12" s="192">
        <v>0</v>
      </c>
      <c r="F12" s="192">
        <v>0</v>
      </c>
      <c r="G12" s="192">
        <v>0</v>
      </c>
      <c r="H12" s="192">
        <v>0</v>
      </c>
      <c r="I12" s="192">
        <v>0</v>
      </c>
      <c r="J12" s="192">
        <v>0</v>
      </c>
      <c r="K12" s="192">
        <v>6.6666666666666666E-2</v>
      </c>
      <c r="L12" s="192">
        <v>0.2</v>
      </c>
      <c r="M12" s="192">
        <v>0.4</v>
      </c>
      <c r="N12" s="192">
        <v>0.66666666666666663</v>
      </c>
      <c r="O12" s="192">
        <v>1</v>
      </c>
      <c r="P12" s="192">
        <v>1.4</v>
      </c>
      <c r="Q12" s="192">
        <v>1.8666666666666667</v>
      </c>
      <c r="R12" s="192">
        <v>2.4</v>
      </c>
      <c r="S12" s="192">
        <v>3</v>
      </c>
      <c r="T12" s="192">
        <v>3.6466666666666665</v>
      </c>
      <c r="U12" s="192">
        <v>4.293333333333333</v>
      </c>
      <c r="V12" s="192">
        <v>4.9400000000000004</v>
      </c>
      <c r="W12" s="192">
        <v>5.5866666666666669</v>
      </c>
      <c r="X12" s="192">
        <v>6.2333333333333334</v>
      </c>
      <c r="Y12" s="192">
        <v>6.88</v>
      </c>
      <c r="Z12" s="192">
        <v>7.5266666666666664</v>
      </c>
      <c r="AA12" s="192">
        <v>8.1733333333333338</v>
      </c>
      <c r="AB12" s="192">
        <v>8.7799999999999994</v>
      </c>
      <c r="AC12" s="192">
        <v>9.36</v>
      </c>
      <c r="AD12" s="192">
        <v>9.94</v>
      </c>
      <c r="AE12" s="192">
        <v>10.52</v>
      </c>
      <c r="AF12" s="192">
        <v>11.1</v>
      </c>
      <c r="AG12" s="192">
        <v>11.68</v>
      </c>
      <c r="AH12" s="192">
        <v>12.26</v>
      </c>
      <c r="AI12" s="192">
        <v>12.84</v>
      </c>
      <c r="AJ12" s="192">
        <v>13.42</v>
      </c>
      <c r="AK12" s="192">
        <v>14</v>
      </c>
      <c r="AL12" s="192">
        <v>14.58</v>
      </c>
      <c r="AM12" s="192">
        <v>15.16</v>
      </c>
      <c r="AN12" s="192">
        <v>15.633333333333333</v>
      </c>
      <c r="AO12" s="192">
        <v>16</v>
      </c>
      <c r="AP12" s="192">
        <v>16.260000000000002</v>
      </c>
      <c r="AQ12" s="192">
        <v>16.413333333333334</v>
      </c>
      <c r="AR12" s="192">
        <v>16.46</v>
      </c>
      <c r="AS12" s="192">
        <v>16.46</v>
      </c>
      <c r="AT12" s="192">
        <v>16.46</v>
      </c>
      <c r="AU12" s="192">
        <v>16.46</v>
      </c>
      <c r="AV12" s="192">
        <v>16.46</v>
      </c>
      <c r="AW12" s="192">
        <v>16.46</v>
      </c>
      <c r="AX12" s="192">
        <v>16.46</v>
      </c>
      <c r="AY12" s="192">
        <v>16.46</v>
      </c>
      <c r="AZ12" s="192">
        <v>16.46</v>
      </c>
      <c r="BA12" s="192">
        <v>16.46</v>
      </c>
      <c r="BB12" s="192">
        <v>16.46</v>
      </c>
      <c r="BC12" s="192">
        <v>16.46</v>
      </c>
      <c r="BD12" s="192">
        <v>16.46</v>
      </c>
      <c r="BE12" s="192">
        <v>16.46</v>
      </c>
      <c r="BF12" s="192">
        <v>16.46</v>
      </c>
      <c r="BG12" s="192">
        <v>16.46</v>
      </c>
      <c r="BH12" s="192">
        <v>16.46</v>
      </c>
      <c r="BI12" s="192">
        <v>16.46</v>
      </c>
      <c r="BJ12" s="192">
        <v>16.46</v>
      </c>
      <c r="BK12" s="10"/>
      <c r="BL12" s="15"/>
      <c r="BM12" s="10"/>
      <c r="BN12" s="15"/>
      <c r="BO12" s="10"/>
      <c r="BP12" s="6"/>
    </row>
    <row r="13" spans="1:82" ht="14.4" outlineLevel="1" x14ac:dyDescent="0.3">
      <c r="B13" s="79" t="s">
        <v>137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5000</v>
      </c>
      <c r="L13" s="6">
        <v>5000</v>
      </c>
      <c r="M13" s="6">
        <v>5000</v>
      </c>
      <c r="N13" s="6">
        <v>5000</v>
      </c>
      <c r="O13" s="6">
        <v>2000</v>
      </c>
      <c r="P13" s="6">
        <v>2000</v>
      </c>
      <c r="Q13" s="6">
        <v>2000</v>
      </c>
      <c r="R13" s="6">
        <v>2000</v>
      </c>
      <c r="S13" s="6">
        <v>2000</v>
      </c>
      <c r="T13" s="6">
        <v>2000</v>
      </c>
      <c r="U13" s="6">
        <v>2000</v>
      </c>
      <c r="V13" s="6">
        <v>2000</v>
      </c>
      <c r="W13" s="6">
        <v>2000</v>
      </c>
      <c r="X13" s="6">
        <v>2000</v>
      </c>
      <c r="Y13" s="6">
        <v>2000</v>
      </c>
      <c r="Z13" s="6">
        <v>2000</v>
      </c>
      <c r="AA13" s="6">
        <v>1000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f t="shared" ref="BK13:BK17" si="4">SUM(C13:BJ13)</f>
        <v>45000</v>
      </c>
      <c r="BL13" s="6"/>
      <c r="BM13" s="6"/>
      <c r="BN13" s="6"/>
      <c r="BO13" s="6"/>
      <c r="BP13" s="6"/>
    </row>
    <row r="14" spans="1:82" ht="14.4" outlineLevel="1" x14ac:dyDescent="0.3">
      <c r="B14" s="79" t="s">
        <v>138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160000</v>
      </c>
      <c r="M14" s="6">
        <v>173026.31578947368</v>
      </c>
      <c r="N14" s="6">
        <v>186776.31578947368</v>
      </c>
      <c r="O14" s="6">
        <v>201335.13931888546</v>
      </c>
      <c r="P14" s="6">
        <v>120803.88931888544</v>
      </c>
      <c r="Q14" s="6">
        <v>127403.88931888544</v>
      </c>
      <c r="R14" s="6">
        <v>134475.31789031404</v>
      </c>
      <c r="S14" s="6">
        <v>142090.70250569866</v>
      </c>
      <c r="T14" s="6">
        <v>150340.70250569866</v>
      </c>
      <c r="U14" s="6">
        <v>159340.70250569866</v>
      </c>
      <c r="V14" s="6">
        <v>169240.70250569866</v>
      </c>
      <c r="W14" s="6">
        <v>180240.70250569866</v>
      </c>
      <c r="X14" s="6">
        <v>192615.70250569866</v>
      </c>
      <c r="Y14" s="6">
        <v>206758.55964855579</v>
      </c>
      <c r="Z14" s="6">
        <v>223258.55964855579</v>
      </c>
      <c r="AA14" s="6">
        <v>243058.55964855579</v>
      </c>
      <c r="AB14" s="6">
        <v>235808.55964855579</v>
      </c>
      <c r="AC14" s="6">
        <v>220308.55964855579</v>
      </c>
      <c r="AD14" s="6">
        <v>220308.55964855579</v>
      </c>
      <c r="AE14" s="6">
        <v>220308.55964855579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f t="shared" si="4"/>
        <v>3667499.9999999995</v>
      </c>
      <c r="BL14" s="6"/>
      <c r="BM14" s="73"/>
      <c r="BN14" s="6"/>
      <c r="BP14" s="6"/>
    </row>
    <row r="15" spans="1:82" ht="14.4" outlineLevel="1" x14ac:dyDescent="0.3">
      <c r="B15" s="79" t="s">
        <v>139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3712500</v>
      </c>
      <c r="AG15" s="6">
        <v>3712500</v>
      </c>
      <c r="AH15" s="6">
        <v>3712500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f t="shared" si="4"/>
        <v>11137500</v>
      </c>
      <c r="BL15" s="6"/>
      <c r="BM15" s="6"/>
      <c r="BN15" s="6"/>
      <c r="BO15" s="3"/>
      <c r="BP15" s="6"/>
    </row>
    <row r="16" spans="1:82" ht="14.4" outlineLevel="1" x14ac:dyDescent="0.3">
      <c r="B16" s="79" t="s">
        <v>140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f t="shared" si="4"/>
        <v>0</v>
      </c>
      <c r="BL16" s="6"/>
      <c r="BM16" s="6"/>
      <c r="BN16" s="6"/>
      <c r="BP16" s="6"/>
    </row>
    <row r="17" spans="1:82" ht="14.4" outlineLevel="1" x14ac:dyDescent="0.3">
      <c r="A17" s="3"/>
      <c r="B17" s="79" t="s">
        <v>141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1061775</v>
      </c>
      <c r="T17" s="6">
        <v>193050</v>
      </c>
      <c r="U17" s="6">
        <v>193050</v>
      </c>
      <c r="V17" s="6">
        <v>289575</v>
      </c>
      <c r="W17" s="6">
        <v>257400</v>
      </c>
      <c r="X17" s="6">
        <v>257400</v>
      </c>
      <c r="Y17" s="6">
        <v>225225.00000000003</v>
      </c>
      <c r="Z17" s="6">
        <v>225225.00000000003</v>
      </c>
      <c r="AA17" s="6">
        <v>193050</v>
      </c>
      <c r="AB17" s="6">
        <v>160875</v>
      </c>
      <c r="AC17" s="6">
        <v>96525</v>
      </c>
      <c r="AD17" s="6">
        <v>64350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f t="shared" si="4"/>
        <v>3217500</v>
      </c>
      <c r="BL17" s="6"/>
      <c r="BM17" s="6"/>
      <c r="BN17" s="3"/>
      <c r="BO17" s="3"/>
      <c r="BP17" s="6"/>
    </row>
    <row r="18" spans="1:82" ht="14.4" x14ac:dyDescent="0.3">
      <c r="B18" s="193" t="s">
        <v>18</v>
      </c>
      <c r="C18" s="193"/>
      <c r="D18" s="193"/>
      <c r="E18" s="193"/>
      <c r="F18" s="193"/>
      <c r="G18" s="193"/>
      <c r="H18" s="193">
        <f t="shared" ref="H18:T18" si="5">SUM(H13:H17)</f>
        <v>0</v>
      </c>
      <c r="I18" s="193">
        <f t="shared" si="5"/>
        <v>0</v>
      </c>
      <c r="J18" s="193">
        <f t="shared" si="5"/>
        <v>0</v>
      </c>
      <c r="K18" s="193">
        <f t="shared" si="5"/>
        <v>5000</v>
      </c>
      <c r="L18" s="193">
        <f t="shared" si="5"/>
        <v>165000</v>
      </c>
      <c r="M18" s="193">
        <f t="shared" si="5"/>
        <v>178026.31578947368</v>
      </c>
      <c r="N18" s="193">
        <f t="shared" si="5"/>
        <v>191776.31578947368</v>
      </c>
      <c r="O18" s="193">
        <f t="shared" si="5"/>
        <v>203335.13931888546</v>
      </c>
      <c r="P18" s="193">
        <f t="shared" si="5"/>
        <v>122803.88931888544</v>
      </c>
      <c r="Q18" s="193">
        <f t="shared" si="5"/>
        <v>129403.88931888544</v>
      </c>
      <c r="R18" s="193">
        <f t="shared" si="5"/>
        <v>136475.31789031404</v>
      </c>
      <c r="S18" s="193">
        <f t="shared" si="5"/>
        <v>1205865.7025056987</v>
      </c>
      <c r="T18" s="193">
        <f t="shared" si="5"/>
        <v>345390.70250569866</v>
      </c>
      <c r="U18" s="193">
        <f t="shared" ref="U18:BK18" si="6">SUM(U13:U17)</f>
        <v>354390.70250569866</v>
      </c>
      <c r="V18" s="193">
        <f t="shared" si="6"/>
        <v>460815.70250569866</v>
      </c>
      <c r="W18" s="193">
        <f t="shared" si="6"/>
        <v>439640.70250569866</v>
      </c>
      <c r="X18" s="193">
        <f t="shared" si="6"/>
        <v>452015.70250569866</v>
      </c>
      <c r="Y18" s="193">
        <f t="shared" si="6"/>
        <v>433983.55964855582</v>
      </c>
      <c r="Z18" s="193">
        <f t="shared" si="6"/>
        <v>450483.55964855582</v>
      </c>
      <c r="AA18" s="193">
        <f t="shared" si="6"/>
        <v>437108.55964855582</v>
      </c>
      <c r="AB18" s="193">
        <f t="shared" si="6"/>
        <v>396683.55964855582</v>
      </c>
      <c r="AC18" s="193">
        <f t="shared" si="6"/>
        <v>316833.55964855582</v>
      </c>
      <c r="AD18" s="193">
        <f t="shared" si="6"/>
        <v>284658.55964855582</v>
      </c>
      <c r="AE18" s="193">
        <f t="shared" si="6"/>
        <v>220308.55964855579</v>
      </c>
      <c r="AF18" s="193">
        <f t="shared" si="6"/>
        <v>3712500</v>
      </c>
      <c r="AG18" s="193">
        <f t="shared" si="6"/>
        <v>3712500</v>
      </c>
      <c r="AH18" s="193">
        <f t="shared" si="6"/>
        <v>3712500</v>
      </c>
      <c r="AI18" s="193">
        <f t="shared" si="6"/>
        <v>0</v>
      </c>
      <c r="AJ18" s="193">
        <f t="shared" si="6"/>
        <v>0</v>
      </c>
      <c r="AK18" s="193">
        <f t="shared" si="6"/>
        <v>0</v>
      </c>
      <c r="AL18" s="193">
        <f t="shared" si="6"/>
        <v>0</v>
      </c>
      <c r="AM18" s="193">
        <f t="shared" si="6"/>
        <v>0</v>
      </c>
      <c r="AN18" s="193">
        <f t="shared" si="6"/>
        <v>0</v>
      </c>
      <c r="AO18" s="193">
        <f t="shared" si="6"/>
        <v>0</v>
      </c>
      <c r="AP18" s="193">
        <f t="shared" si="6"/>
        <v>0</v>
      </c>
      <c r="AQ18" s="193">
        <f t="shared" si="6"/>
        <v>0</v>
      </c>
      <c r="AR18" s="193">
        <f t="shared" si="6"/>
        <v>0</v>
      </c>
      <c r="AS18" s="193">
        <f t="shared" si="6"/>
        <v>0</v>
      </c>
      <c r="AT18" s="193">
        <f t="shared" si="6"/>
        <v>0</v>
      </c>
      <c r="AU18" s="193">
        <f t="shared" si="6"/>
        <v>0</v>
      </c>
      <c r="AV18" s="193">
        <f t="shared" si="6"/>
        <v>0</v>
      </c>
      <c r="AW18" s="193">
        <f t="shared" si="6"/>
        <v>0</v>
      </c>
      <c r="AX18" s="193">
        <f t="shared" si="6"/>
        <v>0</v>
      </c>
      <c r="AY18" s="193">
        <f t="shared" si="6"/>
        <v>0</v>
      </c>
      <c r="AZ18" s="193">
        <f t="shared" si="6"/>
        <v>0</v>
      </c>
      <c r="BA18" s="193">
        <f t="shared" si="6"/>
        <v>0</v>
      </c>
      <c r="BB18" s="193">
        <f t="shared" si="6"/>
        <v>0</v>
      </c>
      <c r="BC18" s="193">
        <f t="shared" si="6"/>
        <v>0</v>
      </c>
      <c r="BD18" s="193">
        <f t="shared" si="6"/>
        <v>0</v>
      </c>
      <c r="BE18" s="193">
        <f t="shared" si="6"/>
        <v>0</v>
      </c>
      <c r="BF18" s="193">
        <f t="shared" si="6"/>
        <v>0</v>
      </c>
      <c r="BG18" s="193">
        <f t="shared" si="6"/>
        <v>0</v>
      </c>
      <c r="BH18" s="193">
        <f t="shared" si="6"/>
        <v>0</v>
      </c>
      <c r="BI18" s="193">
        <f t="shared" si="6"/>
        <v>0</v>
      </c>
      <c r="BJ18" s="193">
        <f t="shared" si="6"/>
        <v>0</v>
      </c>
      <c r="BK18" s="8">
        <f t="shared" si="6"/>
        <v>18067500</v>
      </c>
      <c r="BL18" s="8">
        <v>3217500</v>
      </c>
      <c r="BM18" s="8"/>
    </row>
    <row r="19" spans="1:82" ht="14.4" x14ac:dyDescent="0.3">
      <c r="B19" s="193" t="s">
        <v>142</v>
      </c>
      <c r="C19" s="193">
        <f>+C18</f>
        <v>0</v>
      </c>
      <c r="D19" s="193">
        <f t="shared" ref="D19:T19" si="7">+C19+D18</f>
        <v>0</v>
      </c>
      <c r="E19" s="193">
        <f t="shared" si="7"/>
        <v>0</v>
      </c>
      <c r="F19" s="193">
        <f t="shared" si="7"/>
        <v>0</v>
      </c>
      <c r="G19" s="193">
        <f t="shared" si="7"/>
        <v>0</v>
      </c>
      <c r="H19" s="193">
        <f t="shared" si="7"/>
        <v>0</v>
      </c>
      <c r="I19" s="193">
        <f t="shared" si="7"/>
        <v>0</v>
      </c>
      <c r="J19" s="193">
        <f t="shared" si="7"/>
        <v>0</v>
      </c>
      <c r="K19" s="193">
        <f t="shared" si="7"/>
        <v>5000</v>
      </c>
      <c r="L19" s="193">
        <f t="shared" si="7"/>
        <v>170000</v>
      </c>
      <c r="M19" s="193">
        <f t="shared" si="7"/>
        <v>348026.31578947371</v>
      </c>
      <c r="N19" s="193">
        <f t="shared" si="7"/>
        <v>539802.63157894742</v>
      </c>
      <c r="O19" s="193">
        <f t="shared" si="7"/>
        <v>743137.77089783293</v>
      </c>
      <c r="P19" s="193">
        <f t="shared" si="7"/>
        <v>865941.66021671833</v>
      </c>
      <c r="Q19" s="193">
        <f t="shared" si="7"/>
        <v>995345.54953560373</v>
      </c>
      <c r="R19" s="193">
        <f t="shared" si="7"/>
        <v>1131820.8674259176</v>
      </c>
      <c r="S19" s="193">
        <f t="shared" si="7"/>
        <v>2337686.5699316161</v>
      </c>
      <c r="T19" s="193">
        <f t="shared" si="7"/>
        <v>2683077.2724373145</v>
      </c>
      <c r="U19" s="193">
        <f>SUM(U14:U18)</f>
        <v>706781.40501139732</v>
      </c>
      <c r="V19" s="193">
        <f t="shared" ref="V19:BJ19" si="8">+U19+V18</f>
        <v>1167597.107517096</v>
      </c>
      <c r="W19" s="193">
        <f t="shared" si="8"/>
        <v>1607237.8100227946</v>
      </c>
      <c r="X19" s="193">
        <f t="shared" si="8"/>
        <v>2059253.5125284933</v>
      </c>
      <c r="Y19" s="193">
        <f t="shared" si="8"/>
        <v>2493237.0721770492</v>
      </c>
      <c r="Z19" s="193">
        <f t="shared" si="8"/>
        <v>2943720.6318256049</v>
      </c>
      <c r="AA19" s="193">
        <f t="shared" si="8"/>
        <v>3380829.1914741606</v>
      </c>
      <c r="AB19" s="193">
        <f t="shared" si="8"/>
        <v>3777512.7511227163</v>
      </c>
      <c r="AC19" s="193">
        <f t="shared" si="8"/>
        <v>4094346.3107712721</v>
      </c>
      <c r="AD19" s="193">
        <f t="shared" si="8"/>
        <v>4379004.8704198282</v>
      </c>
      <c r="AE19" s="193">
        <f t="shared" si="8"/>
        <v>4599313.4300683839</v>
      </c>
      <c r="AF19" s="193">
        <f t="shared" si="8"/>
        <v>8311813.4300683839</v>
      </c>
      <c r="AG19" s="193">
        <f t="shared" si="8"/>
        <v>12024313.430068385</v>
      </c>
      <c r="AH19" s="193">
        <f t="shared" si="8"/>
        <v>15736813.430068385</v>
      </c>
      <c r="AI19" s="193">
        <f t="shared" si="8"/>
        <v>15736813.430068385</v>
      </c>
      <c r="AJ19" s="193">
        <f t="shared" si="8"/>
        <v>15736813.430068385</v>
      </c>
      <c r="AK19" s="193">
        <f t="shared" si="8"/>
        <v>15736813.430068385</v>
      </c>
      <c r="AL19" s="193">
        <f t="shared" si="8"/>
        <v>15736813.430068385</v>
      </c>
      <c r="AM19" s="193">
        <f t="shared" si="8"/>
        <v>15736813.430068385</v>
      </c>
      <c r="AN19" s="193">
        <f t="shared" si="8"/>
        <v>15736813.430068385</v>
      </c>
      <c r="AO19" s="193">
        <f t="shared" si="8"/>
        <v>15736813.430068385</v>
      </c>
      <c r="AP19" s="193">
        <f t="shared" si="8"/>
        <v>15736813.430068385</v>
      </c>
      <c r="AQ19" s="193">
        <f t="shared" si="8"/>
        <v>15736813.430068385</v>
      </c>
      <c r="AR19" s="193">
        <f t="shared" si="8"/>
        <v>15736813.430068385</v>
      </c>
      <c r="AS19" s="193">
        <f t="shared" si="8"/>
        <v>15736813.430068385</v>
      </c>
      <c r="AT19" s="193">
        <f t="shared" si="8"/>
        <v>15736813.430068385</v>
      </c>
      <c r="AU19" s="193">
        <f t="shared" si="8"/>
        <v>15736813.430068385</v>
      </c>
      <c r="AV19" s="193">
        <f t="shared" si="8"/>
        <v>15736813.430068385</v>
      </c>
      <c r="AW19" s="193">
        <f t="shared" si="8"/>
        <v>15736813.430068385</v>
      </c>
      <c r="AX19" s="193">
        <f t="shared" si="8"/>
        <v>15736813.430068385</v>
      </c>
      <c r="AY19" s="193">
        <f t="shared" si="8"/>
        <v>15736813.430068385</v>
      </c>
      <c r="AZ19" s="193">
        <f t="shared" si="8"/>
        <v>15736813.430068385</v>
      </c>
      <c r="BA19" s="193">
        <f t="shared" si="8"/>
        <v>15736813.430068385</v>
      </c>
      <c r="BB19" s="193">
        <f t="shared" si="8"/>
        <v>15736813.430068385</v>
      </c>
      <c r="BC19" s="193">
        <f t="shared" si="8"/>
        <v>15736813.430068385</v>
      </c>
      <c r="BD19" s="193">
        <f t="shared" si="8"/>
        <v>15736813.430068385</v>
      </c>
      <c r="BE19" s="193">
        <f t="shared" si="8"/>
        <v>15736813.430068385</v>
      </c>
      <c r="BF19" s="193">
        <f t="shared" si="8"/>
        <v>15736813.430068385</v>
      </c>
      <c r="BG19" s="193">
        <f t="shared" si="8"/>
        <v>15736813.430068385</v>
      </c>
      <c r="BH19" s="193">
        <f t="shared" si="8"/>
        <v>15736813.430068385</v>
      </c>
      <c r="BI19" s="193">
        <f t="shared" si="8"/>
        <v>15736813.430068385</v>
      </c>
      <c r="BJ19" s="193">
        <f t="shared" si="8"/>
        <v>15736813.430068385</v>
      </c>
      <c r="BK19" s="8">
        <f>+BK18-BK17</f>
        <v>14850000</v>
      </c>
      <c r="BL19" s="8"/>
      <c r="BM19" s="8"/>
    </row>
    <row r="20" spans="1:82" ht="14.4" x14ac:dyDescent="0.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6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6"/>
      <c r="BM20" s="3"/>
      <c r="BN20" s="3"/>
      <c r="BO20" s="3"/>
    </row>
    <row r="21" spans="1:82" ht="14.4" x14ac:dyDescent="0.3">
      <c r="C21" s="3"/>
      <c r="D21" s="3"/>
      <c r="E21" s="3"/>
      <c r="F21" s="3"/>
      <c r="G21" s="3"/>
      <c r="H21" s="3"/>
      <c r="I21" s="3"/>
      <c r="J21" s="3"/>
      <c r="K21" s="195"/>
      <c r="L21" s="3"/>
      <c r="M21" s="3"/>
      <c r="N21" s="3"/>
      <c r="O21" s="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6"/>
      <c r="BM21" s="3"/>
      <c r="BN21" s="3"/>
      <c r="BO21" s="3"/>
    </row>
    <row r="22" spans="1:82" ht="25.8" x14ac:dyDescent="0.5">
      <c r="B22" s="9" t="s">
        <v>19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"/>
      <c r="P22" s="3"/>
      <c r="Q22" s="3"/>
      <c r="R22" s="3"/>
      <c r="S22" s="3"/>
      <c r="T22" s="3"/>
      <c r="U22" s="3">
        <f>108/2</f>
        <v>54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6"/>
      <c r="BM22" s="3"/>
      <c r="BN22" s="3"/>
      <c r="BO22" s="3"/>
    </row>
    <row r="23" spans="1:82" ht="15.75" customHeight="1" x14ac:dyDescent="0.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6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6"/>
      <c r="BM23" s="3"/>
      <c r="BN23" s="3"/>
      <c r="BO23" s="3"/>
    </row>
    <row r="24" spans="1:82" ht="15.75" customHeight="1" x14ac:dyDescent="0.3">
      <c r="B24" s="196" t="s">
        <v>22</v>
      </c>
      <c r="C24" s="196"/>
      <c r="D24" s="196"/>
      <c r="E24" s="193"/>
      <c r="F24" s="196"/>
      <c r="G24" s="196"/>
      <c r="H24" s="196"/>
      <c r="I24" s="193"/>
      <c r="J24" s="193"/>
      <c r="K24" s="193"/>
      <c r="L24" s="196"/>
      <c r="M24" s="196"/>
      <c r="N24" s="196"/>
      <c r="O24" s="193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  <c r="AX24" s="196"/>
      <c r="AY24" s="196"/>
      <c r="AZ24" s="196"/>
      <c r="BA24" s="196"/>
      <c r="BB24" s="196"/>
      <c r="BC24" s="196"/>
      <c r="BD24" s="196"/>
      <c r="BE24" s="196"/>
      <c r="BF24" s="196"/>
      <c r="BG24" s="196"/>
      <c r="BH24" s="196"/>
      <c r="BI24" s="196"/>
      <c r="BJ24" s="196"/>
      <c r="BL24" s="6"/>
    </row>
    <row r="25" spans="1:82" ht="15.75" customHeight="1" outlineLevel="1" x14ac:dyDescent="0.3">
      <c r="M25" s="3"/>
      <c r="N25" s="3"/>
      <c r="O25" s="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6"/>
      <c r="BM25" s="3"/>
      <c r="BN25" s="3"/>
      <c r="BO25" s="3"/>
    </row>
    <row r="26" spans="1:82" ht="15.75" customHeight="1" outlineLevel="1" x14ac:dyDescent="0.3">
      <c r="A26" s="6"/>
      <c r="B26" s="6" t="s">
        <v>143</v>
      </c>
      <c r="C26" s="6">
        <v>1750000</v>
      </c>
      <c r="D26" s="6"/>
      <c r="E26" s="6"/>
      <c r="F26" s="6"/>
      <c r="G26" s="6"/>
      <c r="H26" s="6"/>
      <c r="I26" s="6"/>
      <c r="J26" s="6"/>
      <c r="K26" s="6"/>
      <c r="L26" s="6"/>
      <c r="N26" s="6"/>
      <c r="O26" s="6"/>
      <c r="P26" s="6"/>
      <c r="Q26" s="6"/>
      <c r="R26" s="6"/>
      <c r="S26" s="6"/>
      <c r="T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</row>
    <row r="27" spans="1:82" ht="15.75" customHeight="1" outlineLevel="1" x14ac:dyDescent="0.3">
      <c r="A27" s="6"/>
      <c r="B27" s="6" t="s">
        <v>167</v>
      </c>
      <c r="C27" s="6">
        <v>0</v>
      </c>
      <c r="D27" s="6"/>
      <c r="E27" s="6"/>
      <c r="F27" s="6"/>
      <c r="G27" s="6"/>
      <c r="H27" s="6"/>
      <c r="I27" s="6"/>
      <c r="J27" s="6"/>
      <c r="L27" s="6"/>
      <c r="N27" s="6"/>
      <c r="O27" s="6"/>
      <c r="P27" s="6"/>
      <c r="Q27" s="6"/>
      <c r="R27" s="6"/>
      <c r="S27" s="6"/>
      <c r="T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</row>
    <row r="28" spans="1:82" ht="15.75" customHeight="1" outlineLevel="1" x14ac:dyDescent="0.3">
      <c r="B28" s="3" t="s">
        <v>144</v>
      </c>
      <c r="C28" s="6">
        <v>52500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3"/>
      <c r="BL28" s="3"/>
      <c r="BM28" s="3"/>
      <c r="BN28" s="3"/>
      <c r="BO28" s="3"/>
    </row>
    <row r="29" spans="1:82" ht="15.75" customHeight="1" x14ac:dyDescent="0.3">
      <c r="B29" s="197" t="s">
        <v>18</v>
      </c>
      <c r="C29" s="197">
        <f t="shared" ref="C29:BD29" si="9">SUM(C26:C28)</f>
        <v>1802500</v>
      </c>
      <c r="D29" s="197">
        <f t="shared" si="9"/>
        <v>0</v>
      </c>
      <c r="E29" s="197">
        <f t="shared" si="9"/>
        <v>0</v>
      </c>
      <c r="F29" s="197">
        <f t="shared" si="9"/>
        <v>0</v>
      </c>
      <c r="G29" s="197">
        <f t="shared" si="9"/>
        <v>0</v>
      </c>
      <c r="H29" s="197">
        <f t="shared" si="9"/>
        <v>0</v>
      </c>
      <c r="I29" s="197">
        <f t="shared" si="9"/>
        <v>0</v>
      </c>
      <c r="J29" s="197">
        <f t="shared" si="9"/>
        <v>0</v>
      </c>
      <c r="K29" s="197">
        <f t="shared" si="9"/>
        <v>0</v>
      </c>
      <c r="L29" s="197">
        <f t="shared" si="9"/>
        <v>0</v>
      </c>
      <c r="M29" s="197">
        <f t="shared" si="9"/>
        <v>0</v>
      </c>
      <c r="N29" s="197">
        <f t="shared" si="9"/>
        <v>0</v>
      </c>
      <c r="O29" s="197">
        <f t="shared" si="9"/>
        <v>0</v>
      </c>
      <c r="P29" s="197">
        <f t="shared" si="9"/>
        <v>0</v>
      </c>
      <c r="Q29" s="197">
        <f t="shared" si="9"/>
        <v>0</v>
      </c>
      <c r="R29" s="197">
        <f t="shared" si="9"/>
        <v>0</v>
      </c>
      <c r="S29" s="197">
        <f t="shared" si="9"/>
        <v>0</v>
      </c>
      <c r="T29" s="197">
        <f t="shared" si="9"/>
        <v>0</v>
      </c>
      <c r="U29" s="197">
        <f t="shared" si="9"/>
        <v>0</v>
      </c>
      <c r="V29" s="197">
        <f t="shared" si="9"/>
        <v>0</v>
      </c>
      <c r="W29" s="197">
        <f t="shared" si="9"/>
        <v>0</v>
      </c>
      <c r="X29" s="197">
        <f t="shared" si="9"/>
        <v>0</v>
      </c>
      <c r="Y29" s="197">
        <f t="shared" si="9"/>
        <v>0</v>
      </c>
      <c r="Z29" s="197">
        <f t="shared" si="9"/>
        <v>0</v>
      </c>
      <c r="AA29" s="197">
        <f t="shared" si="9"/>
        <v>0</v>
      </c>
      <c r="AB29" s="197">
        <f t="shared" si="9"/>
        <v>0</v>
      </c>
      <c r="AC29" s="197">
        <f t="shared" si="9"/>
        <v>0</v>
      </c>
      <c r="AD29" s="197">
        <f t="shared" si="9"/>
        <v>0</v>
      </c>
      <c r="AE29" s="197">
        <f t="shared" si="9"/>
        <v>0</v>
      </c>
      <c r="AF29" s="197">
        <f t="shared" si="9"/>
        <v>0</v>
      </c>
      <c r="AG29" s="197">
        <f t="shared" si="9"/>
        <v>0</v>
      </c>
      <c r="AH29" s="197">
        <f t="shared" si="9"/>
        <v>0</v>
      </c>
      <c r="AI29" s="197">
        <f t="shared" si="9"/>
        <v>0</v>
      </c>
      <c r="AJ29" s="197">
        <f t="shared" si="9"/>
        <v>0</v>
      </c>
      <c r="AK29" s="197">
        <f t="shared" si="9"/>
        <v>0</v>
      </c>
      <c r="AL29" s="197">
        <f t="shared" si="9"/>
        <v>0</v>
      </c>
      <c r="AM29" s="197">
        <f t="shared" si="9"/>
        <v>0</v>
      </c>
      <c r="AN29" s="197">
        <f t="shared" si="9"/>
        <v>0</v>
      </c>
      <c r="AO29" s="197">
        <f t="shared" si="9"/>
        <v>0</v>
      </c>
      <c r="AP29" s="197">
        <f t="shared" si="9"/>
        <v>0</v>
      </c>
      <c r="AQ29" s="197">
        <f t="shared" si="9"/>
        <v>0</v>
      </c>
      <c r="AR29" s="197">
        <f t="shared" si="9"/>
        <v>0</v>
      </c>
      <c r="AS29" s="197">
        <f t="shared" si="9"/>
        <v>0</v>
      </c>
      <c r="AT29" s="197">
        <f t="shared" si="9"/>
        <v>0</v>
      </c>
      <c r="AU29" s="197">
        <f t="shared" si="9"/>
        <v>0</v>
      </c>
      <c r="AV29" s="197">
        <f t="shared" si="9"/>
        <v>0</v>
      </c>
      <c r="AW29" s="197">
        <f t="shared" si="9"/>
        <v>0</v>
      </c>
      <c r="AX29" s="197">
        <f t="shared" si="9"/>
        <v>0</v>
      </c>
      <c r="AY29" s="197">
        <f t="shared" si="9"/>
        <v>0</v>
      </c>
      <c r="AZ29" s="197">
        <f t="shared" si="9"/>
        <v>0</v>
      </c>
      <c r="BA29" s="197">
        <f t="shared" si="9"/>
        <v>0</v>
      </c>
      <c r="BB29" s="197">
        <f t="shared" si="9"/>
        <v>0</v>
      </c>
      <c r="BC29" s="197">
        <f t="shared" si="9"/>
        <v>0</v>
      </c>
      <c r="BD29" s="197">
        <f t="shared" si="9"/>
        <v>0</v>
      </c>
      <c r="BE29" s="197"/>
      <c r="BF29" s="197"/>
      <c r="BG29" s="197"/>
      <c r="BH29" s="197"/>
      <c r="BI29" s="197"/>
      <c r="BJ29" s="197"/>
      <c r="BK29" s="198">
        <f>SUM(C29:BJ29)</f>
        <v>1802500</v>
      </c>
      <c r="BL29" s="8" t="b">
        <v>0</v>
      </c>
      <c r="BM29" s="8">
        <v>0</v>
      </c>
    </row>
    <row r="30" spans="1:82" ht="15.75" customHeight="1" x14ac:dyDescent="0.3">
      <c r="D30" s="101"/>
      <c r="N30" s="3"/>
      <c r="O30" s="6"/>
      <c r="P30" s="3"/>
      <c r="U30" s="6"/>
      <c r="W30" s="6">
        <f>SUM(Q34:W34)</f>
        <v>3281850</v>
      </c>
      <c r="X30" s="101">
        <f>+W30/BK34</f>
        <v>0.51</v>
      </c>
      <c r="AC30" s="6"/>
      <c r="AE30" s="6"/>
    </row>
    <row r="31" spans="1:82" ht="15.75" customHeight="1" x14ac:dyDescent="0.3">
      <c r="B31" s="196" t="s">
        <v>26</v>
      </c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3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  <c r="AS31" s="196"/>
      <c r="AT31" s="196"/>
      <c r="AU31" s="196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</row>
    <row r="32" spans="1:82" ht="15.75" customHeight="1" outlineLevel="1" x14ac:dyDescent="0.3">
      <c r="K32" s="6"/>
      <c r="O32" s="6"/>
    </row>
    <row r="33" spans="1:82" ht="15.75" customHeight="1" outlineLevel="1" x14ac:dyDescent="0.3">
      <c r="B33" s="79" t="s">
        <v>10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>
        <f t="shared" ref="BK33:BK37" si="10">SUM(C33:BJ33)</f>
        <v>0</v>
      </c>
      <c r="BL33" s="3"/>
    </row>
    <row r="34" spans="1:82" ht="15.75" customHeight="1" outlineLevel="1" x14ac:dyDescent="0.3">
      <c r="B34" s="76" t="s">
        <v>11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321750</v>
      </c>
      <c r="P34" s="6">
        <v>386100</v>
      </c>
      <c r="Q34" s="6">
        <v>450450.00000000006</v>
      </c>
      <c r="R34" s="6">
        <v>450450.00000000006</v>
      </c>
      <c r="S34" s="6">
        <v>514800</v>
      </c>
      <c r="T34" s="6">
        <v>386100</v>
      </c>
      <c r="U34" s="6">
        <v>386100</v>
      </c>
      <c r="V34" s="6">
        <v>579150</v>
      </c>
      <c r="W34" s="6">
        <v>514800</v>
      </c>
      <c r="X34" s="6">
        <v>514800</v>
      </c>
      <c r="Y34" s="6">
        <v>450450.00000000006</v>
      </c>
      <c r="Z34" s="6">
        <v>450450.00000000006</v>
      </c>
      <c r="AA34" s="6">
        <v>386100</v>
      </c>
      <c r="AB34" s="6">
        <v>321750</v>
      </c>
      <c r="AC34" s="6">
        <v>193050</v>
      </c>
      <c r="AD34" s="6">
        <v>128700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f t="shared" si="10"/>
        <v>6435000</v>
      </c>
      <c r="BL34" s="199">
        <v>0</v>
      </c>
      <c r="BM34" s="6">
        <v>0</v>
      </c>
    </row>
    <row r="35" spans="1:82" ht="15.75" customHeight="1" outlineLevel="1" x14ac:dyDescent="0.3">
      <c r="B35" s="76" t="s">
        <v>13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f t="shared" si="10"/>
        <v>0</v>
      </c>
      <c r="BL35" s="199"/>
      <c r="BM35" s="3"/>
      <c r="BN35" s="3"/>
      <c r="BO35" s="3"/>
    </row>
    <row r="36" spans="1:82" ht="15.75" customHeight="1" outlineLevel="1" x14ac:dyDescent="0.3">
      <c r="B36" s="76" t="s">
        <v>15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f t="shared" si="10"/>
        <v>0</v>
      </c>
      <c r="BL36" s="199"/>
      <c r="BM36" s="3"/>
      <c r="BN36" s="3"/>
      <c r="BO36" s="3"/>
    </row>
    <row r="37" spans="1:82" ht="15.75" customHeight="1" outlineLevel="1" x14ac:dyDescent="0.3">
      <c r="B37" s="76" t="s">
        <v>17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f t="shared" si="10"/>
        <v>0</v>
      </c>
      <c r="BL37" s="199"/>
      <c r="BM37" s="3"/>
      <c r="BN37" s="3"/>
      <c r="BO37" s="3"/>
    </row>
    <row r="38" spans="1:82" ht="15.75" customHeight="1" outlineLevel="1" x14ac:dyDescent="0.3">
      <c r="B38" s="79" t="s">
        <v>14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200"/>
      <c r="BM38" s="3"/>
      <c r="BN38" s="3"/>
      <c r="BO38" s="3"/>
    </row>
    <row r="39" spans="1:82" ht="15.75" customHeight="1" outlineLevel="1" x14ac:dyDescent="0.3">
      <c r="B39" s="7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f t="shared" ref="BK39:BK41" si="11">SUM(C39:BJ39)</f>
        <v>0</v>
      </c>
      <c r="BL39" s="200"/>
      <c r="BM39" s="3"/>
      <c r="BN39" s="3"/>
      <c r="BO39" s="3"/>
    </row>
    <row r="40" spans="1:82" ht="15.75" customHeight="1" outlineLevel="1" x14ac:dyDescent="0.3">
      <c r="A40" s="6"/>
      <c r="B40" s="6" t="s">
        <v>168</v>
      </c>
      <c r="C40" s="6"/>
      <c r="D40" s="6"/>
      <c r="E40" s="6"/>
      <c r="F40" s="6"/>
      <c r="G40" s="6"/>
      <c r="H40" s="6"/>
      <c r="I40" s="6"/>
      <c r="J40" s="6"/>
      <c r="K40" s="6"/>
      <c r="L40" s="6">
        <v>64350</v>
      </c>
      <c r="M40" s="6"/>
      <c r="N40" s="6"/>
      <c r="O40" s="6"/>
      <c r="P40" s="6"/>
      <c r="Q40" s="6"/>
      <c r="S40" s="6"/>
      <c r="T40" s="6"/>
      <c r="V40" s="6"/>
      <c r="W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>
        <f t="shared" si="11"/>
        <v>64350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</row>
    <row r="41" spans="1:82" ht="15.75" customHeight="1" x14ac:dyDescent="0.3">
      <c r="B41" s="197" t="s">
        <v>18</v>
      </c>
      <c r="C41" s="197">
        <f t="shared" ref="C41:BD41" si="12">+SUM(C34:C40)</f>
        <v>0</v>
      </c>
      <c r="D41" s="197">
        <f t="shared" si="12"/>
        <v>0</v>
      </c>
      <c r="E41" s="197">
        <f t="shared" si="12"/>
        <v>0</v>
      </c>
      <c r="F41" s="197">
        <f t="shared" si="12"/>
        <v>0</v>
      </c>
      <c r="G41" s="197">
        <f t="shared" si="12"/>
        <v>0</v>
      </c>
      <c r="H41" s="197">
        <f t="shared" si="12"/>
        <v>0</v>
      </c>
      <c r="I41" s="197">
        <f t="shared" si="12"/>
        <v>0</v>
      </c>
      <c r="J41" s="197">
        <f t="shared" si="12"/>
        <v>0</v>
      </c>
      <c r="K41" s="197">
        <f t="shared" si="12"/>
        <v>0</v>
      </c>
      <c r="L41" s="197">
        <f t="shared" si="12"/>
        <v>64350</v>
      </c>
      <c r="M41" s="197">
        <f t="shared" si="12"/>
        <v>0</v>
      </c>
      <c r="N41" s="197">
        <f t="shared" si="12"/>
        <v>0</v>
      </c>
      <c r="O41" s="197">
        <f t="shared" si="12"/>
        <v>321750</v>
      </c>
      <c r="P41" s="197">
        <f t="shared" si="12"/>
        <v>386100</v>
      </c>
      <c r="Q41" s="197">
        <f t="shared" si="12"/>
        <v>450450.00000000006</v>
      </c>
      <c r="R41" s="197">
        <f t="shared" si="12"/>
        <v>450450.00000000006</v>
      </c>
      <c r="S41" s="197">
        <f t="shared" si="12"/>
        <v>514800</v>
      </c>
      <c r="T41" s="197">
        <f t="shared" si="12"/>
        <v>386100</v>
      </c>
      <c r="U41" s="197">
        <f t="shared" si="12"/>
        <v>386100</v>
      </c>
      <c r="V41" s="197">
        <f t="shared" si="12"/>
        <v>579150</v>
      </c>
      <c r="W41" s="197">
        <f t="shared" si="12"/>
        <v>514800</v>
      </c>
      <c r="X41" s="197">
        <f t="shared" si="12"/>
        <v>514800</v>
      </c>
      <c r="Y41" s="197">
        <f t="shared" si="12"/>
        <v>450450.00000000006</v>
      </c>
      <c r="Z41" s="197">
        <f t="shared" si="12"/>
        <v>450450.00000000006</v>
      </c>
      <c r="AA41" s="197">
        <f t="shared" si="12"/>
        <v>386100</v>
      </c>
      <c r="AB41" s="197">
        <f t="shared" si="12"/>
        <v>321750</v>
      </c>
      <c r="AC41" s="197">
        <f t="shared" si="12"/>
        <v>193050</v>
      </c>
      <c r="AD41" s="197">
        <f t="shared" si="12"/>
        <v>128700</v>
      </c>
      <c r="AE41" s="197">
        <f t="shared" si="12"/>
        <v>0</v>
      </c>
      <c r="AF41" s="197">
        <f t="shared" si="12"/>
        <v>0</v>
      </c>
      <c r="AG41" s="197">
        <f t="shared" si="12"/>
        <v>0</v>
      </c>
      <c r="AH41" s="197">
        <f t="shared" si="12"/>
        <v>0</v>
      </c>
      <c r="AI41" s="197">
        <f t="shared" si="12"/>
        <v>0</v>
      </c>
      <c r="AJ41" s="197">
        <f t="shared" si="12"/>
        <v>0</v>
      </c>
      <c r="AK41" s="197">
        <f t="shared" si="12"/>
        <v>0</v>
      </c>
      <c r="AL41" s="197">
        <f t="shared" si="12"/>
        <v>0</v>
      </c>
      <c r="AM41" s="197">
        <f t="shared" si="12"/>
        <v>0</v>
      </c>
      <c r="AN41" s="197">
        <f t="shared" si="12"/>
        <v>0</v>
      </c>
      <c r="AO41" s="197">
        <f t="shared" si="12"/>
        <v>0</v>
      </c>
      <c r="AP41" s="197">
        <f t="shared" si="12"/>
        <v>0</v>
      </c>
      <c r="AQ41" s="197">
        <f t="shared" si="12"/>
        <v>0</v>
      </c>
      <c r="AR41" s="197">
        <f t="shared" si="12"/>
        <v>0</v>
      </c>
      <c r="AS41" s="197">
        <f t="shared" si="12"/>
        <v>0</v>
      </c>
      <c r="AT41" s="197">
        <f t="shared" si="12"/>
        <v>0</v>
      </c>
      <c r="AU41" s="197">
        <f t="shared" si="12"/>
        <v>0</v>
      </c>
      <c r="AV41" s="197">
        <f t="shared" si="12"/>
        <v>0</v>
      </c>
      <c r="AW41" s="197">
        <f t="shared" si="12"/>
        <v>0</v>
      </c>
      <c r="AX41" s="197">
        <f t="shared" si="12"/>
        <v>0</v>
      </c>
      <c r="AY41" s="197">
        <f t="shared" si="12"/>
        <v>0</v>
      </c>
      <c r="AZ41" s="197">
        <f t="shared" si="12"/>
        <v>0</v>
      </c>
      <c r="BA41" s="197">
        <f t="shared" si="12"/>
        <v>0</v>
      </c>
      <c r="BB41" s="197">
        <f t="shared" si="12"/>
        <v>0</v>
      </c>
      <c r="BC41" s="197">
        <f t="shared" si="12"/>
        <v>0</v>
      </c>
      <c r="BD41" s="197">
        <f t="shared" si="12"/>
        <v>0</v>
      </c>
      <c r="BE41" s="197">
        <f t="shared" ref="BE41:BJ41" si="13">SUM(BE34:BE40)</f>
        <v>0</v>
      </c>
      <c r="BF41" s="197">
        <f t="shared" si="13"/>
        <v>0</v>
      </c>
      <c r="BG41" s="197">
        <f t="shared" si="13"/>
        <v>0</v>
      </c>
      <c r="BH41" s="197">
        <f t="shared" si="13"/>
        <v>0</v>
      </c>
      <c r="BI41" s="197">
        <f t="shared" si="13"/>
        <v>0</v>
      </c>
      <c r="BJ41" s="197">
        <f t="shared" si="13"/>
        <v>0</v>
      </c>
      <c r="BK41" s="198">
        <f t="shared" si="11"/>
        <v>6499350</v>
      </c>
      <c r="BL41" s="8" t="b">
        <v>0</v>
      </c>
      <c r="BM41" s="8">
        <v>0</v>
      </c>
    </row>
    <row r="42" spans="1:82" ht="15.75" customHeight="1" x14ac:dyDescent="0.3">
      <c r="C42" s="6"/>
    </row>
    <row r="43" spans="1:82" ht="15.75" customHeight="1" x14ac:dyDescent="0.3">
      <c r="B43" s="196" t="s">
        <v>29</v>
      </c>
      <c r="C43" s="193"/>
      <c r="D43" s="193"/>
      <c r="E43" s="193"/>
      <c r="F43" s="193"/>
      <c r="G43" s="193"/>
      <c r="H43" s="193"/>
      <c r="I43" s="193"/>
      <c r="J43" s="196"/>
      <c r="K43" s="201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/>
      <c r="AX43" s="196"/>
      <c r="AY43" s="196"/>
      <c r="AZ43" s="196"/>
      <c r="BA43" s="196"/>
      <c r="BB43" s="196"/>
      <c r="BC43" s="196"/>
      <c r="BD43" s="196"/>
      <c r="BE43" s="196"/>
      <c r="BF43" s="196"/>
      <c r="BG43" s="196"/>
      <c r="BH43" s="196"/>
      <c r="BI43" s="196"/>
      <c r="BJ43" s="196"/>
    </row>
    <row r="44" spans="1:82" ht="15.75" customHeight="1" outlineLevel="1" x14ac:dyDescent="0.3">
      <c r="C44" s="6"/>
      <c r="D44" s="6"/>
      <c r="E44" s="6"/>
      <c r="F44" s="6"/>
      <c r="G44" s="6"/>
      <c r="H44" s="6"/>
      <c r="I44" s="6"/>
      <c r="J44" s="3"/>
    </row>
    <row r="45" spans="1:82" ht="15.75" customHeight="1" outlineLevel="1" x14ac:dyDescent="0.3">
      <c r="B45" s="3" t="s">
        <v>150</v>
      </c>
      <c r="C45" s="6">
        <v>64993.5</v>
      </c>
      <c r="D45" s="6">
        <v>0</v>
      </c>
      <c r="E45" s="6">
        <v>64993.5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/>
      <c r="BF45" s="6"/>
      <c r="BG45" s="6"/>
      <c r="BH45" s="6"/>
      <c r="BI45" s="6"/>
      <c r="BJ45" s="6"/>
      <c r="BK45" s="6">
        <f>SUM(C45:BJ45)</f>
        <v>129987</v>
      </c>
    </row>
    <row r="46" spans="1:82" ht="15.75" customHeight="1" outlineLevel="1" x14ac:dyDescent="0.3">
      <c r="B46" s="101"/>
      <c r="C46" s="203">
        <v>0.5</v>
      </c>
      <c r="D46" s="203"/>
      <c r="E46" s="203">
        <v>0.5</v>
      </c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  <c r="BK46" s="6"/>
      <c r="BL46" s="101"/>
      <c r="BM46" s="101"/>
      <c r="BN46" s="101"/>
      <c r="BO46" s="101"/>
    </row>
    <row r="47" spans="1:82" ht="15.75" customHeight="1" outlineLevel="1" x14ac:dyDescent="0.3">
      <c r="B47" s="3" t="s">
        <v>31</v>
      </c>
      <c r="C47" s="6">
        <v>10000</v>
      </c>
      <c r="D47" s="6"/>
      <c r="E47" s="6"/>
      <c r="G47" s="6"/>
      <c r="I47" s="6"/>
      <c r="J47" s="3"/>
      <c r="BK47" s="6">
        <f t="shared" ref="BK47:BK54" si="14">SUM(C47:BJ47)</f>
        <v>10000</v>
      </c>
    </row>
    <row r="48" spans="1:82" ht="15.75" customHeight="1" outlineLevel="1" x14ac:dyDescent="0.3">
      <c r="B48" s="3"/>
      <c r="C48" s="6"/>
      <c r="D48" s="6"/>
      <c r="E48" s="6"/>
      <c r="G48" s="6"/>
      <c r="I48" s="6"/>
      <c r="J48" s="3"/>
      <c r="BK48" s="6">
        <f t="shared" si="14"/>
        <v>0</v>
      </c>
    </row>
    <row r="49" spans="1:82" ht="15.75" customHeight="1" outlineLevel="1" x14ac:dyDescent="0.3">
      <c r="B49" s="3" t="s">
        <v>32</v>
      </c>
      <c r="C49" s="6">
        <v>2000</v>
      </c>
      <c r="E49" s="6"/>
      <c r="J49" s="6"/>
      <c r="BK49" s="6">
        <f t="shared" si="14"/>
        <v>2000</v>
      </c>
    </row>
    <row r="50" spans="1:82" ht="15.75" customHeight="1" outlineLevel="1" x14ac:dyDescent="0.3">
      <c r="B50" s="3" t="s">
        <v>33</v>
      </c>
      <c r="C50" s="6">
        <v>10000</v>
      </c>
      <c r="D50" s="6"/>
      <c r="E50" s="6"/>
      <c r="G50" s="6"/>
      <c r="I50" s="6"/>
      <c r="J50" s="6"/>
      <c r="BK50" s="6">
        <f t="shared" si="14"/>
        <v>10000</v>
      </c>
    </row>
    <row r="51" spans="1:82" ht="15.75" customHeight="1" outlineLevel="1" x14ac:dyDescent="0.3">
      <c r="B51" s="3" t="s">
        <v>34</v>
      </c>
      <c r="C51" s="6">
        <v>10000</v>
      </c>
      <c r="D51" s="6"/>
      <c r="E51" s="6"/>
      <c r="G51" s="6"/>
      <c r="I51" s="6"/>
      <c r="J51" s="6"/>
      <c r="BK51" s="6">
        <f t="shared" si="14"/>
        <v>10000</v>
      </c>
    </row>
    <row r="52" spans="1:82" ht="15.75" customHeight="1" outlineLevel="1" x14ac:dyDescent="0.3">
      <c r="B52" s="3" t="s">
        <v>35</v>
      </c>
      <c r="C52" s="6">
        <v>50000</v>
      </c>
      <c r="D52" s="6">
        <f>+C52</f>
        <v>50000</v>
      </c>
      <c r="G52" s="6"/>
      <c r="I52" s="6"/>
      <c r="J52" s="3"/>
      <c r="BK52" s="6">
        <f t="shared" si="14"/>
        <v>100000</v>
      </c>
    </row>
    <row r="53" spans="1:82" ht="15.75" customHeight="1" outlineLevel="1" x14ac:dyDescent="0.3">
      <c r="A53" s="6"/>
      <c r="B53" s="6" t="s">
        <v>36</v>
      </c>
      <c r="C53" s="6">
        <v>10398.960000000001</v>
      </c>
      <c r="D53" s="6"/>
      <c r="E53" s="6"/>
      <c r="F53" s="6">
        <f>+C53</f>
        <v>10398.960000000001</v>
      </c>
      <c r="G53" s="6"/>
      <c r="H53" s="6"/>
      <c r="I53" s="6">
        <f>+F53</f>
        <v>10398.960000000001</v>
      </c>
      <c r="J53" s="6"/>
      <c r="K53" s="6"/>
      <c r="L53" s="6">
        <f>+I53</f>
        <v>10398.960000000001</v>
      </c>
      <c r="M53" s="6"/>
      <c r="N53" s="6"/>
      <c r="O53" s="6">
        <f>+L53</f>
        <v>10398.960000000001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f t="shared" si="14"/>
        <v>51994.8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</row>
    <row r="54" spans="1:82" ht="15.75" customHeight="1" x14ac:dyDescent="0.3">
      <c r="B54" s="197" t="s">
        <v>18</v>
      </c>
      <c r="C54" s="197">
        <f t="shared" ref="C54:AP54" si="15">SUM(C47:C53)+C45</f>
        <v>157392.46000000002</v>
      </c>
      <c r="D54" s="197">
        <f t="shared" si="15"/>
        <v>50000</v>
      </c>
      <c r="E54" s="197">
        <f t="shared" si="15"/>
        <v>64993.5</v>
      </c>
      <c r="F54" s="197">
        <f t="shared" si="15"/>
        <v>10398.960000000001</v>
      </c>
      <c r="G54" s="197">
        <f t="shared" si="15"/>
        <v>0</v>
      </c>
      <c r="H54" s="197">
        <f t="shared" si="15"/>
        <v>0</v>
      </c>
      <c r="I54" s="197">
        <f t="shared" si="15"/>
        <v>10398.960000000001</v>
      </c>
      <c r="J54" s="197">
        <f t="shared" si="15"/>
        <v>0</v>
      </c>
      <c r="K54" s="197">
        <f t="shared" si="15"/>
        <v>0</v>
      </c>
      <c r="L54" s="197">
        <f t="shared" si="15"/>
        <v>10398.960000000001</v>
      </c>
      <c r="M54" s="197">
        <f t="shared" si="15"/>
        <v>0</v>
      </c>
      <c r="N54" s="197">
        <f t="shared" si="15"/>
        <v>0</v>
      </c>
      <c r="O54" s="197">
        <f t="shared" si="15"/>
        <v>10398.960000000001</v>
      </c>
      <c r="P54" s="197">
        <f t="shared" si="15"/>
        <v>0</v>
      </c>
      <c r="Q54" s="197">
        <f t="shared" si="15"/>
        <v>0</v>
      </c>
      <c r="R54" s="197">
        <f t="shared" si="15"/>
        <v>0</v>
      </c>
      <c r="S54" s="197">
        <f t="shared" si="15"/>
        <v>0</v>
      </c>
      <c r="T54" s="197">
        <f t="shared" si="15"/>
        <v>0</v>
      </c>
      <c r="U54" s="197">
        <f t="shared" si="15"/>
        <v>0</v>
      </c>
      <c r="V54" s="197">
        <f t="shared" si="15"/>
        <v>0</v>
      </c>
      <c r="W54" s="197">
        <f t="shared" si="15"/>
        <v>0</v>
      </c>
      <c r="X54" s="197">
        <f t="shared" si="15"/>
        <v>0</v>
      </c>
      <c r="Y54" s="197">
        <f t="shared" si="15"/>
        <v>0</v>
      </c>
      <c r="Z54" s="197">
        <f t="shared" si="15"/>
        <v>0</v>
      </c>
      <c r="AA54" s="197">
        <f t="shared" si="15"/>
        <v>0</v>
      </c>
      <c r="AB54" s="197">
        <f t="shared" si="15"/>
        <v>0</v>
      </c>
      <c r="AC54" s="197">
        <f t="shared" si="15"/>
        <v>0</v>
      </c>
      <c r="AD54" s="197">
        <f t="shared" si="15"/>
        <v>0</v>
      </c>
      <c r="AE54" s="197">
        <f t="shared" si="15"/>
        <v>0</v>
      </c>
      <c r="AF54" s="197">
        <f t="shared" si="15"/>
        <v>0</v>
      </c>
      <c r="AG54" s="197">
        <f t="shared" si="15"/>
        <v>0</v>
      </c>
      <c r="AH54" s="197">
        <f t="shared" si="15"/>
        <v>0</v>
      </c>
      <c r="AI54" s="197">
        <f t="shared" si="15"/>
        <v>0</v>
      </c>
      <c r="AJ54" s="197">
        <f t="shared" si="15"/>
        <v>0</v>
      </c>
      <c r="AK54" s="197">
        <f t="shared" si="15"/>
        <v>0</v>
      </c>
      <c r="AL54" s="197">
        <f t="shared" si="15"/>
        <v>0</v>
      </c>
      <c r="AM54" s="197">
        <f t="shared" si="15"/>
        <v>0</v>
      </c>
      <c r="AN54" s="197">
        <f t="shared" si="15"/>
        <v>0</v>
      </c>
      <c r="AO54" s="197">
        <f t="shared" si="15"/>
        <v>0</v>
      </c>
      <c r="AP54" s="197">
        <f t="shared" si="15"/>
        <v>0</v>
      </c>
      <c r="AQ54" s="197"/>
      <c r="AR54" s="197"/>
      <c r="AS54" s="197"/>
      <c r="AT54" s="197"/>
      <c r="AU54" s="197"/>
      <c r="AV54" s="197"/>
      <c r="AW54" s="197"/>
      <c r="AX54" s="197"/>
      <c r="AY54" s="197"/>
      <c r="AZ54" s="197"/>
      <c r="BA54" s="197"/>
      <c r="BB54" s="197"/>
      <c r="BC54" s="197"/>
      <c r="BD54" s="197"/>
      <c r="BE54" s="197"/>
      <c r="BF54" s="197"/>
      <c r="BG54" s="197"/>
      <c r="BH54" s="197"/>
      <c r="BI54" s="197"/>
      <c r="BJ54" s="197"/>
      <c r="BK54" s="198">
        <f t="shared" si="14"/>
        <v>313981.8000000001</v>
      </c>
      <c r="BL54" s="8" t="b">
        <v>0</v>
      </c>
      <c r="BM54" s="8">
        <v>0</v>
      </c>
    </row>
    <row r="55" spans="1:82" ht="15.75" customHeight="1" x14ac:dyDescent="0.3">
      <c r="C55" s="3"/>
    </row>
    <row r="56" spans="1:82" ht="15.75" customHeight="1" x14ac:dyDescent="0.3">
      <c r="B56" s="196" t="s">
        <v>37</v>
      </c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  <c r="AL56" s="196"/>
      <c r="AM56" s="196"/>
      <c r="AN56" s="196"/>
      <c r="AO56" s="196"/>
      <c r="AP56" s="196"/>
      <c r="AQ56" s="196"/>
      <c r="AR56" s="196"/>
      <c r="AS56" s="196"/>
      <c r="AT56" s="196"/>
      <c r="AU56" s="196"/>
      <c r="AV56" s="196"/>
      <c r="AW56" s="196"/>
      <c r="AX56" s="196"/>
      <c r="AY56" s="196"/>
      <c r="AZ56" s="196"/>
      <c r="BA56" s="196"/>
      <c r="BB56" s="196"/>
      <c r="BC56" s="196"/>
      <c r="BD56" s="196"/>
      <c r="BE56" s="196"/>
      <c r="BF56" s="196"/>
      <c r="BG56" s="196"/>
      <c r="BH56" s="196"/>
      <c r="BI56" s="196"/>
      <c r="BJ56" s="196"/>
      <c r="BL56" s="6"/>
    </row>
    <row r="57" spans="1:82" ht="15.75" customHeight="1" outlineLevel="1" x14ac:dyDescent="0.3">
      <c r="BK57" s="6">
        <f t="shared" ref="BK57:BK65" si="16">SUM(C57:BJ57)</f>
        <v>0</v>
      </c>
      <c r="BL57" s="6"/>
    </row>
    <row r="58" spans="1:82" ht="15.75" customHeight="1" outlineLevel="1" x14ac:dyDescent="0.3">
      <c r="B58" s="3" t="s">
        <v>38</v>
      </c>
      <c r="C58" s="6">
        <v>0</v>
      </c>
      <c r="D58" s="6">
        <f t="shared" ref="D58:AH58" si="17">+C58</f>
        <v>0</v>
      </c>
      <c r="E58" s="6">
        <f t="shared" si="17"/>
        <v>0</v>
      </c>
      <c r="F58" s="6">
        <f t="shared" si="17"/>
        <v>0</v>
      </c>
      <c r="G58" s="6">
        <f t="shared" si="17"/>
        <v>0</v>
      </c>
      <c r="H58" s="6">
        <f t="shared" si="17"/>
        <v>0</v>
      </c>
      <c r="I58" s="6">
        <f t="shared" si="17"/>
        <v>0</v>
      </c>
      <c r="J58" s="6">
        <f t="shared" si="17"/>
        <v>0</v>
      </c>
      <c r="K58" s="6">
        <f t="shared" si="17"/>
        <v>0</v>
      </c>
      <c r="L58" s="6">
        <f t="shared" si="17"/>
        <v>0</v>
      </c>
      <c r="M58" s="6">
        <f t="shared" si="17"/>
        <v>0</v>
      </c>
      <c r="N58" s="6">
        <f t="shared" si="17"/>
        <v>0</v>
      </c>
      <c r="O58" s="6">
        <f t="shared" si="17"/>
        <v>0</v>
      </c>
      <c r="P58" s="6">
        <f t="shared" si="17"/>
        <v>0</v>
      </c>
      <c r="Q58" s="6">
        <f t="shared" si="17"/>
        <v>0</v>
      </c>
      <c r="R58" s="6">
        <f t="shared" si="17"/>
        <v>0</v>
      </c>
      <c r="S58" s="6">
        <f t="shared" si="17"/>
        <v>0</v>
      </c>
      <c r="T58" s="6">
        <f t="shared" si="17"/>
        <v>0</v>
      </c>
      <c r="U58" s="6">
        <f t="shared" si="17"/>
        <v>0</v>
      </c>
      <c r="V58" s="6">
        <f t="shared" si="17"/>
        <v>0</v>
      </c>
      <c r="W58" s="6">
        <f t="shared" si="17"/>
        <v>0</v>
      </c>
      <c r="X58" s="6">
        <f t="shared" si="17"/>
        <v>0</v>
      </c>
      <c r="Y58" s="6">
        <f t="shared" si="17"/>
        <v>0</v>
      </c>
      <c r="Z58" s="6">
        <f t="shared" si="17"/>
        <v>0</v>
      </c>
      <c r="AA58" s="6">
        <f t="shared" si="17"/>
        <v>0</v>
      </c>
      <c r="AB58" s="6">
        <f t="shared" si="17"/>
        <v>0</v>
      </c>
      <c r="AC58" s="6">
        <f t="shared" si="17"/>
        <v>0</v>
      </c>
      <c r="AD58" s="6">
        <f t="shared" si="17"/>
        <v>0</v>
      </c>
      <c r="AE58" s="6">
        <f t="shared" si="17"/>
        <v>0</v>
      </c>
      <c r="AF58" s="6">
        <f t="shared" si="17"/>
        <v>0</v>
      </c>
      <c r="AG58" s="6">
        <f t="shared" si="17"/>
        <v>0</v>
      </c>
      <c r="AH58" s="6">
        <f t="shared" si="17"/>
        <v>0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>
        <f t="shared" si="16"/>
        <v>0</v>
      </c>
      <c r="BL58" s="6">
        <v>0</v>
      </c>
    </row>
    <row r="59" spans="1:82" ht="15.75" customHeight="1" outlineLevel="1" x14ac:dyDescent="0.3">
      <c r="B59" s="3" t="s">
        <v>152</v>
      </c>
      <c r="C59" s="3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>
        <v>7799.2199999999993</v>
      </c>
      <c r="AE59" s="6">
        <v>7799.2199999999993</v>
      </c>
      <c r="AF59" s="6">
        <v>7799.2199999999993</v>
      </c>
      <c r="AG59" s="6">
        <v>7799.2199999999993</v>
      </c>
      <c r="AH59" s="6">
        <v>7799.2199999999993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>
        <f t="shared" si="16"/>
        <v>38996.1</v>
      </c>
      <c r="BL59" s="6">
        <v>0</v>
      </c>
    </row>
    <row r="60" spans="1:82" ht="15.75" customHeight="1" outlineLevel="1" x14ac:dyDescent="0.3">
      <c r="B60" s="6" t="s">
        <v>153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25997.4</v>
      </c>
      <c r="T60" s="6"/>
      <c r="U60" s="6"/>
      <c r="V60" s="6"/>
      <c r="W60" s="6"/>
      <c r="X60" s="6"/>
      <c r="Y60" s="6">
        <f>+S60</f>
        <v>25997.4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f t="shared" si="16"/>
        <v>51994.8</v>
      </c>
      <c r="BL60" s="6">
        <v>0</v>
      </c>
      <c r="BM60" s="6"/>
      <c r="BN60" s="6"/>
      <c r="BO60" s="6"/>
    </row>
    <row r="61" spans="1:82" ht="15.75" customHeight="1" outlineLevel="1" x14ac:dyDescent="0.3">
      <c r="B61" s="3" t="s">
        <v>41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>
        <f t="shared" ref="BE61:BJ61" si="18">+SUM(BE57:BE60)*18%</f>
        <v>0</v>
      </c>
      <c r="BF61" s="6">
        <f t="shared" si="18"/>
        <v>0</v>
      </c>
      <c r="BG61" s="6">
        <f t="shared" si="18"/>
        <v>0</v>
      </c>
      <c r="BH61" s="6">
        <f t="shared" si="18"/>
        <v>0</v>
      </c>
      <c r="BI61" s="6">
        <f t="shared" si="18"/>
        <v>0</v>
      </c>
      <c r="BJ61" s="6">
        <f t="shared" si="18"/>
        <v>0</v>
      </c>
      <c r="BK61" s="6">
        <f t="shared" si="16"/>
        <v>0</v>
      </c>
      <c r="BL61" s="6"/>
    </row>
    <row r="62" spans="1:82" ht="15.75" customHeight="1" outlineLevel="1" x14ac:dyDescent="0.3">
      <c r="B62" s="3" t="s">
        <v>42</v>
      </c>
      <c r="C62" s="6"/>
      <c r="D62" s="6"/>
      <c r="E62" s="6">
        <v>0</v>
      </c>
      <c r="F62" s="6">
        <f t="shared" ref="F62:AZ62" si="19">+E62</f>
        <v>0</v>
      </c>
      <c r="G62" s="6">
        <f t="shared" si="19"/>
        <v>0</v>
      </c>
      <c r="H62" s="6">
        <f t="shared" si="19"/>
        <v>0</v>
      </c>
      <c r="I62" s="6">
        <f t="shared" si="19"/>
        <v>0</v>
      </c>
      <c r="J62" s="6">
        <f t="shared" si="19"/>
        <v>0</v>
      </c>
      <c r="K62" s="6">
        <f t="shared" si="19"/>
        <v>0</v>
      </c>
      <c r="L62" s="6">
        <f t="shared" si="19"/>
        <v>0</v>
      </c>
      <c r="M62" s="6">
        <f t="shared" si="19"/>
        <v>0</v>
      </c>
      <c r="N62" s="6">
        <f t="shared" si="19"/>
        <v>0</v>
      </c>
      <c r="O62" s="6">
        <f t="shared" si="19"/>
        <v>0</v>
      </c>
      <c r="P62" s="6">
        <f t="shared" si="19"/>
        <v>0</v>
      </c>
      <c r="Q62" s="6">
        <f t="shared" si="19"/>
        <v>0</v>
      </c>
      <c r="R62" s="6">
        <f t="shared" si="19"/>
        <v>0</v>
      </c>
      <c r="S62" s="6">
        <f t="shared" si="19"/>
        <v>0</v>
      </c>
      <c r="T62" s="6">
        <f t="shared" si="19"/>
        <v>0</v>
      </c>
      <c r="U62" s="6">
        <f t="shared" si="19"/>
        <v>0</v>
      </c>
      <c r="V62" s="6">
        <f t="shared" si="19"/>
        <v>0</v>
      </c>
      <c r="W62" s="6">
        <f t="shared" si="19"/>
        <v>0</v>
      </c>
      <c r="X62" s="6">
        <f t="shared" si="19"/>
        <v>0</v>
      </c>
      <c r="Y62" s="6">
        <f t="shared" si="19"/>
        <v>0</v>
      </c>
      <c r="Z62" s="6">
        <f t="shared" si="19"/>
        <v>0</v>
      </c>
      <c r="AA62" s="6">
        <f t="shared" si="19"/>
        <v>0</v>
      </c>
      <c r="AB62" s="6">
        <f t="shared" si="19"/>
        <v>0</v>
      </c>
      <c r="AC62" s="6">
        <f t="shared" si="19"/>
        <v>0</v>
      </c>
      <c r="AD62" s="6">
        <f t="shared" si="19"/>
        <v>0</v>
      </c>
      <c r="AE62" s="6">
        <f t="shared" si="19"/>
        <v>0</v>
      </c>
      <c r="AF62" s="6">
        <f t="shared" si="19"/>
        <v>0</v>
      </c>
      <c r="AG62" s="6">
        <f t="shared" si="19"/>
        <v>0</v>
      </c>
      <c r="AH62" s="6">
        <f t="shared" si="19"/>
        <v>0</v>
      </c>
      <c r="AI62" s="6">
        <f t="shared" si="19"/>
        <v>0</v>
      </c>
      <c r="AJ62" s="6">
        <f t="shared" si="19"/>
        <v>0</v>
      </c>
      <c r="AK62" s="6">
        <f t="shared" si="19"/>
        <v>0</v>
      </c>
      <c r="AL62" s="6">
        <f t="shared" si="19"/>
        <v>0</v>
      </c>
      <c r="AM62" s="6">
        <f t="shared" si="19"/>
        <v>0</v>
      </c>
      <c r="AN62" s="6">
        <f t="shared" si="19"/>
        <v>0</v>
      </c>
      <c r="AO62" s="6">
        <f t="shared" si="19"/>
        <v>0</v>
      </c>
      <c r="AP62" s="6">
        <f t="shared" si="19"/>
        <v>0</v>
      </c>
      <c r="AQ62" s="6">
        <f t="shared" si="19"/>
        <v>0</v>
      </c>
      <c r="AR62" s="6">
        <f t="shared" si="19"/>
        <v>0</v>
      </c>
      <c r="AS62" s="6">
        <f t="shared" si="19"/>
        <v>0</v>
      </c>
      <c r="AT62" s="6">
        <f t="shared" si="19"/>
        <v>0</v>
      </c>
      <c r="AU62" s="6">
        <f t="shared" si="19"/>
        <v>0</v>
      </c>
      <c r="AV62" s="6">
        <f t="shared" si="19"/>
        <v>0</v>
      </c>
      <c r="AW62" s="6">
        <f t="shared" si="19"/>
        <v>0</v>
      </c>
      <c r="AX62" s="6">
        <f t="shared" si="19"/>
        <v>0</v>
      </c>
      <c r="AY62" s="6">
        <f t="shared" si="19"/>
        <v>0</v>
      </c>
      <c r="AZ62" s="6">
        <f t="shared" si="19"/>
        <v>0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>
        <f t="shared" si="16"/>
        <v>0</v>
      </c>
      <c r="BL62" s="6">
        <v>0</v>
      </c>
    </row>
    <row r="63" spans="1:82" ht="15.75" customHeight="1" outlineLevel="1" x14ac:dyDescent="0.3">
      <c r="B63" s="3" t="s">
        <v>43</v>
      </c>
      <c r="C63" s="202">
        <v>0</v>
      </c>
      <c r="D63" s="6">
        <f>+C63</f>
        <v>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>
        <f t="shared" si="16"/>
        <v>0</v>
      </c>
      <c r="BL63" s="6">
        <v>0</v>
      </c>
    </row>
    <row r="64" spans="1:82" ht="15.75" customHeight="1" outlineLevel="1" x14ac:dyDescent="0.3">
      <c r="B64" s="3" t="s">
        <v>44</v>
      </c>
      <c r="C64" s="6"/>
      <c r="D64" s="6"/>
      <c r="F64" s="6"/>
      <c r="G64" s="6"/>
      <c r="H64" s="6"/>
      <c r="I64" s="6"/>
      <c r="J64" s="6"/>
      <c r="K64" s="6"/>
      <c r="L64" s="6"/>
      <c r="M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>
        <f t="shared" si="16"/>
        <v>0</v>
      </c>
      <c r="BL64" s="6">
        <v>0</v>
      </c>
    </row>
    <row r="65" spans="2:67" ht="15.75" customHeight="1" x14ac:dyDescent="0.3">
      <c r="B65" s="197" t="s">
        <v>18</v>
      </c>
      <c r="C65" s="197">
        <f t="shared" ref="C65:BJ65" si="20">SUM(C58:C64)</f>
        <v>0</v>
      </c>
      <c r="D65" s="197">
        <f t="shared" si="20"/>
        <v>0</v>
      </c>
      <c r="E65" s="197">
        <f t="shared" si="20"/>
        <v>0</v>
      </c>
      <c r="F65" s="197">
        <f t="shared" si="20"/>
        <v>0</v>
      </c>
      <c r="G65" s="197">
        <f t="shared" si="20"/>
        <v>0</v>
      </c>
      <c r="H65" s="197">
        <f t="shared" si="20"/>
        <v>0</v>
      </c>
      <c r="I65" s="197">
        <f t="shared" si="20"/>
        <v>0</v>
      </c>
      <c r="J65" s="197">
        <f t="shared" si="20"/>
        <v>0</v>
      </c>
      <c r="K65" s="197">
        <f t="shared" si="20"/>
        <v>0</v>
      </c>
      <c r="L65" s="197">
        <f t="shared" si="20"/>
        <v>0</v>
      </c>
      <c r="M65" s="197">
        <f t="shared" si="20"/>
        <v>0</v>
      </c>
      <c r="N65" s="197">
        <f t="shared" si="20"/>
        <v>0</v>
      </c>
      <c r="O65" s="197">
        <f t="shared" si="20"/>
        <v>0</v>
      </c>
      <c r="P65" s="197">
        <f t="shared" si="20"/>
        <v>0</v>
      </c>
      <c r="Q65" s="197">
        <f t="shared" si="20"/>
        <v>0</v>
      </c>
      <c r="R65" s="197">
        <f t="shared" si="20"/>
        <v>0</v>
      </c>
      <c r="S65" s="197">
        <f t="shared" si="20"/>
        <v>25997.4</v>
      </c>
      <c r="T65" s="197">
        <f t="shared" si="20"/>
        <v>0</v>
      </c>
      <c r="U65" s="197">
        <f t="shared" si="20"/>
        <v>0</v>
      </c>
      <c r="V65" s="197">
        <f t="shared" si="20"/>
        <v>0</v>
      </c>
      <c r="W65" s="197">
        <f t="shared" si="20"/>
        <v>0</v>
      </c>
      <c r="X65" s="197">
        <f t="shared" si="20"/>
        <v>0</v>
      </c>
      <c r="Y65" s="197">
        <f t="shared" si="20"/>
        <v>25997.4</v>
      </c>
      <c r="Z65" s="197">
        <f t="shared" si="20"/>
        <v>0</v>
      </c>
      <c r="AA65" s="197">
        <f t="shared" si="20"/>
        <v>0</v>
      </c>
      <c r="AB65" s="197">
        <f t="shared" si="20"/>
        <v>0</v>
      </c>
      <c r="AC65" s="197">
        <f t="shared" si="20"/>
        <v>0</v>
      </c>
      <c r="AD65" s="197">
        <f t="shared" si="20"/>
        <v>7799.2199999999993</v>
      </c>
      <c r="AE65" s="197">
        <f t="shared" si="20"/>
        <v>7799.2199999999993</v>
      </c>
      <c r="AF65" s="197">
        <f t="shared" si="20"/>
        <v>7799.2199999999993</v>
      </c>
      <c r="AG65" s="197">
        <f t="shared" si="20"/>
        <v>7799.2199999999993</v>
      </c>
      <c r="AH65" s="197">
        <f t="shared" si="20"/>
        <v>7799.2199999999993</v>
      </c>
      <c r="AI65" s="197">
        <f t="shared" si="20"/>
        <v>0</v>
      </c>
      <c r="AJ65" s="197">
        <f t="shared" si="20"/>
        <v>0</v>
      </c>
      <c r="AK65" s="197">
        <f t="shared" si="20"/>
        <v>0</v>
      </c>
      <c r="AL65" s="197">
        <f t="shared" si="20"/>
        <v>0</v>
      </c>
      <c r="AM65" s="197">
        <f t="shared" si="20"/>
        <v>0</v>
      </c>
      <c r="AN65" s="197">
        <f t="shared" si="20"/>
        <v>0</v>
      </c>
      <c r="AO65" s="197">
        <f t="shared" si="20"/>
        <v>0</v>
      </c>
      <c r="AP65" s="197">
        <f t="shared" si="20"/>
        <v>0</v>
      </c>
      <c r="AQ65" s="197">
        <f t="shared" si="20"/>
        <v>0</v>
      </c>
      <c r="AR65" s="197">
        <f t="shared" si="20"/>
        <v>0</v>
      </c>
      <c r="AS65" s="197">
        <f t="shared" si="20"/>
        <v>0</v>
      </c>
      <c r="AT65" s="197">
        <f t="shared" si="20"/>
        <v>0</v>
      </c>
      <c r="AU65" s="197">
        <f t="shared" si="20"/>
        <v>0</v>
      </c>
      <c r="AV65" s="197">
        <f t="shared" si="20"/>
        <v>0</v>
      </c>
      <c r="AW65" s="197">
        <f t="shared" si="20"/>
        <v>0</v>
      </c>
      <c r="AX65" s="197">
        <f t="shared" si="20"/>
        <v>0</v>
      </c>
      <c r="AY65" s="197">
        <f t="shared" si="20"/>
        <v>0</v>
      </c>
      <c r="AZ65" s="197">
        <f t="shared" si="20"/>
        <v>0</v>
      </c>
      <c r="BA65" s="197">
        <f t="shared" si="20"/>
        <v>0</v>
      </c>
      <c r="BB65" s="197">
        <f t="shared" si="20"/>
        <v>0</v>
      </c>
      <c r="BC65" s="197">
        <f t="shared" si="20"/>
        <v>0</v>
      </c>
      <c r="BD65" s="197">
        <f t="shared" si="20"/>
        <v>0</v>
      </c>
      <c r="BE65" s="197">
        <f t="shared" si="20"/>
        <v>0</v>
      </c>
      <c r="BF65" s="197">
        <f t="shared" si="20"/>
        <v>0</v>
      </c>
      <c r="BG65" s="197">
        <f t="shared" si="20"/>
        <v>0</v>
      </c>
      <c r="BH65" s="197">
        <f t="shared" si="20"/>
        <v>0</v>
      </c>
      <c r="BI65" s="197">
        <f t="shared" si="20"/>
        <v>0</v>
      </c>
      <c r="BJ65" s="197">
        <f t="shared" si="20"/>
        <v>0</v>
      </c>
      <c r="BK65" s="198">
        <f t="shared" si="16"/>
        <v>90990.900000000009</v>
      </c>
      <c r="BL65" s="8" t="b">
        <v>0</v>
      </c>
      <c r="BM65" s="8">
        <v>0</v>
      </c>
    </row>
    <row r="66" spans="2:67" ht="15.75" customHeight="1" x14ac:dyDescent="0.3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</row>
    <row r="67" spans="2:67" ht="15.75" customHeight="1" x14ac:dyDescent="0.3">
      <c r="B67" s="196" t="s">
        <v>45</v>
      </c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  <c r="AI67" s="196"/>
      <c r="AJ67" s="196"/>
      <c r="AK67" s="196"/>
      <c r="AL67" s="196"/>
      <c r="AM67" s="196"/>
      <c r="AN67" s="196"/>
      <c r="AO67" s="196"/>
      <c r="AP67" s="196"/>
      <c r="AQ67" s="196"/>
      <c r="AR67" s="196"/>
      <c r="AS67" s="196"/>
      <c r="AT67" s="196"/>
      <c r="AU67" s="196"/>
      <c r="AV67" s="196"/>
      <c r="AW67" s="196"/>
      <c r="AX67" s="196"/>
      <c r="AY67" s="196"/>
      <c r="AZ67" s="196"/>
      <c r="BA67" s="196"/>
      <c r="BB67" s="196"/>
      <c r="BC67" s="196"/>
      <c r="BD67" s="196"/>
      <c r="BE67" s="196"/>
      <c r="BF67" s="196"/>
      <c r="BG67" s="196"/>
      <c r="BH67" s="196"/>
      <c r="BI67" s="196"/>
      <c r="BJ67" s="196"/>
    </row>
    <row r="68" spans="2:67" ht="15.75" customHeight="1" outlineLevel="1" x14ac:dyDescent="0.3">
      <c r="B68" s="3" t="s">
        <v>46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17696.25</v>
      </c>
      <c r="U68" s="6">
        <v>20913.75</v>
      </c>
      <c r="V68" s="6">
        <v>24131.25</v>
      </c>
      <c r="W68" s="6">
        <v>28957.5</v>
      </c>
      <c r="X68" s="6">
        <v>33247.5</v>
      </c>
      <c r="Y68" s="6">
        <v>37537.5</v>
      </c>
      <c r="Z68" s="6">
        <v>41291.25</v>
      </c>
      <c r="AA68" s="6">
        <v>45045</v>
      </c>
      <c r="AB68" s="6">
        <v>48262.5</v>
      </c>
      <c r="AC68" s="6">
        <v>50943.75</v>
      </c>
      <c r="AD68" s="6">
        <v>52552.5</v>
      </c>
      <c r="AE68" s="6">
        <v>53625</v>
      </c>
      <c r="AF68" s="6">
        <v>53625</v>
      </c>
      <c r="AG68" s="6">
        <v>40218.75</v>
      </c>
      <c r="AH68" s="6">
        <v>26812.5</v>
      </c>
      <c r="AI68" s="6">
        <v>13406.25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f t="shared" ref="BK68:BK72" si="21">SUM(C68:BJ68)</f>
        <v>588266.25</v>
      </c>
    </row>
    <row r="69" spans="2:67" ht="15.75" customHeight="1" outlineLevel="1" x14ac:dyDescent="0.3">
      <c r="B69" s="6" t="s">
        <v>154</v>
      </c>
      <c r="C69" s="6"/>
      <c r="D69" s="6"/>
      <c r="E69" s="6"/>
      <c r="F69" s="6"/>
      <c r="G69" s="6"/>
      <c r="H69" s="6"/>
      <c r="I69" s="6"/>
      <c r="J69" s="6"/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804375</v>
      </c>
      <c r="AG69" s="6">
        <v>804375</v>
      </c>
      <c r="AH69" s="6">
        <v>804375</v>
      </c>
      <c r="AI69" s="6">
        <v>804375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f t="shared" si="21"/>
        <v>3217500</v>
      </c>
      <c r="BL69" s="6"/>
      <c r="BM69" s="6"/>
    </row>
    <row r="70" spans="2:67" ht="15.75" customHeight="1" outlineLevel="1" x14ac:dyDescent="0.3">
      <c r="B70" s="6" t="s">
        <v>68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>
        <f t="shared" si="21"/>
        <v>0</v>
      </c>
      <c r="BL70" s="6"/>
      <c r="BM70" s="6"/>
    </row>
    <row r="71" spans="2:67" ht="15.75" customHeight="1" outlineLevel="1" x14ac:dyDescent="0.3">
      <c r="B71" s="3" t="s">
        <v>47</v>
      </c>
      <c r="C71" s="6">
        <f>+(C84+C78+C65+C54+C41+C29)*0.15%</f>
        <v>2939.83869</v>
      </c>
      <c r="D71" s="6">
        <f t="shared" ref="D71:BD71" si="22">+(D84+D78+D65+D54+D41+D29)*0.15%</f>
        <v>75</v>
      </c>
      <c r="E71" s="6">
        <f t="shared" si="22"/>
        <v>97.490250000000003</v>
      </c>
      <c r="F71" s="6">
        <f t="shared" si="22"/>
        <v>15.598440000000002</v>
      </c>
      <c r="G71" s="6">
        <f t="shared" si="22"/>
        <v>0</v>
      </c>
      <c r="H71" s="6">
        <f t="shared" si="22"/>
        <v>0</v>
      </c>
      <c r="I71" s="6">
        <f t="shared" si="22"/>
        <v>15.598440000000002</v>
      </c>
      <c r="J71" s="6">
        <f t="shared" si="22"/>
        <v>0</v>
      </c>
      <c r="K71" s="6">
        <f t="shared" si="22"/>
        <v>0</v>
      </c>
      <c r="L71" s="6">
        <f t="shared" si="22"/>
        <v>287.35344000000003</v>
      </c>
      <c r="M71" s="6">
        <f t="shared" si="22"/>
        <v>175.23</v>
      </c>
      <c r="N71" s="6">
        <f t="shared" si="22"/>
        <v>325.23</v>
      </c>
      <c r="O71" s="6">
        <f t="shared" si="22"/>
        <v>823.45344</v>
      </c>
      <c r="P71" s="6">
        <f t="shared" si="22"/>
        <v>649.24199999999996</v>
      </c>
      <c r="Q71" s="6">
        <f t="shared" si="22"/>
        <v>745.76700000000005</v>
      </c>
      <c r="R71" s="6">
        <f t="shared" si="22"/>
        <v>745.76700000000005</v>
      </c>
      <c r="S71" s="6">
        <f t="shared" si="22"/>
        <v>881.2881000000001</v>
      </c>
      <c r="T71" s="6">
        <f t="shared" si="22"/>
        <v>649.24199999999996</v>
      </c>
      <c r="U71" s="6">
        <f t="shared" si="22"/>
        <v>649.24199999999996</v>
      </c>
      <c r="V71" s="6">
        <f t="shared" si="22"/>
        <v>938.81700000000001</v>
      </c>
      <c r="W71" s="6">
        <f t="shared" si="22"/>
        <v>842.29200000000003</v>
      </c>
      <c r="X71" s="6">
        <f t="shared" si="22"/>
        <v>842.29200000000003</v>
      </c>
      <c r="Y71" s="6">
        <f t="shared" si="22"/>
        <v>784.76310000000001</v>
      </c>
      <c r="Z71" s="6">
        <f t="shared" si="22"/>
        <v>745.76700000000005</v>
      </c>
      <c r="AA71" s="6">
        <f t="shared" si="22"/>
        <v>649.24199999999996</v>
      </c>
      <c r="AB71" s="6">
        <f t="shared" si="22"/>
        <v>517.67100000000005</v>
      </c>
      <c r="AC71" s="6">
        <f t="shared" si="22"/>
        <v>289.57499999999999</v>
      </c>
      <c r="AD71" s="6">
        <f t="shared" si="22"/>
        <v>204.74883</v>
      </c>
      <c r="AE71" s="6">
        <f t="shared" si="22"/>
        <v>11.698829999999999</v>
      </c>
      <c r="AF71" s="6">
        <f t="shared" si="22"/>
        <v>11.698829999999999</v>
      </c>
      <c r="AG71" s="6">
        <f t="shared" si="22"/>
        <v>11.698829999999999</v>
      </c>
      <c r="AH71" s="6">
        <f t="shared" si="22"/>
        <v>11.698829999999999</v>
      </c>
      <c r="AI71" s="6">
        <f t="shared" si="22"/>
        <v>0</v>
      </c>
      <c r="AJ71" s="6">
        <f t="shared" si="22"/>
        <v>0</v>
      </c>
      <c r="AK71" s="6">
        <f t="shared" si="22"/>
        <v>0</v>
      </c>
      <c r="AL71" s="6">
        <f t="shared" si="22"/>
        <v>0</v>
      </c>
      <c r="AM71" s="6">
        <f t="shared" si="22"/>
        <v>0</v>
      </c>
      <c r="AN71" s="6">
        <f t="shared" si="22"/>
        <v>0</v>
      </c>
      <c r="AO71" s="6">
        <f t="shared" si="22"/>
        <v>0</v>
      </c>
      <c r="AP71" s="6">
        <f t="shared" si="22"/>
        <v>0</v>
      </c>
      <c r="AQ71" s="6">
        <f t="shared" si="22"/>
        <v>0</v>
      </c>
      <c r="AR71" s="6">
        <f t="shared" si="22"/>
        <v>0</v>
      </c>
      <c r="AS71" s="6">
        <f t="shared" si="22"/>
        <v>0</v>
      </c>
      <c r="AT71" s="6">
        <f t="shared" si="22"/>
        <v>0</v>
      </c>
      <c r="AU71" s="6">
        <f t="shared" si="22"/>
        <v>0</v>
      </c>
      <c r="AV71" s="6">
        <f t="shared" si="22"/>
        <v>0</v>
      </c>
      <c r="AW71" s="6">
        <f t="shared" si="22"/>
        <v>0</v>
      </c>
      <c r="AX71" s="6">
        <f t="shared" si="22"/>
        <v>0</v>
      </c>
      <c r="AY71" s="6">
        <f t="shared" si="22"/>
        <v>0</v>
      </c>
      <c r="AZ71" s="6">
        <f t="shared" si="22"/>
        <v>0</v>
      </c>
      <c r="BA71" s="6">
        <f t="shared" si="22"/>
        <v>0</v>
      </c>
      <c r="BB71" s="6">
        <f t="shared" si="22"/>
        <v>0</v>
      </c>
      <c r="BC71" s="6">
        <f t="shared" si="22"/>
        <v>0</v>
      </c>
      <c r="BD71" s="6">
        <f t="shared" si="22"/>
        <v>0</v>
      </c>
      <c r="BE71" s="6">
        <f t="shared" ref="BE71:BJ71" si="23">+(BE29+BE41+BE54+BE65+BE78+BE84+BE68+BE69)*0.15%</f>
        <v>0</v>
      </c>
      <c r="BF71" s="6">
        <f t="shared" si="23"/>
        <v>0</v>
      </c>
      <c r="BG71" s="6">
        <f t="shared" si="23"/>
        <v>0</v>
      </c>
      <c r="BH71" s="6">
        <f t="shared" si="23"/>
        <v>0</v>
      </c>
      <c r="BI71" s="6">
        <f t="shared" si="23"/>
        <v>0</v>
      </c>
      <c r="BJ71" s="6">
        <f t="shared" si="23"/>
        <v>0</v>
      </c>
      <c r="BK71" s="6">
        <f t="shared" si="21"/>
        <v>14937.304049999999</v>
      </c>
      <c r="BL71" s="6">
        <v>0</v>
      </c>
      <c r="BO71" s="6"/>
    </row>
    <row r="72" spans="2:67" ht="15.75" customHeight="1" x14ac:dyDescent="0.3">
      <c r="B72" s="197" t="s">
        <v>18</v>
      </c>
      <c r="C72" s="197">
        <f t="shared" ref="C72:BD72" si="24">SUM(C68:C71)</f>
        <v>2939.83869</v>
      </c>
      <c r="D72" s="197">
        <f t="shared" si="24"/>
        <v>75</v>
      </c>
      <c r="E72" s="197">
        <f t="shared" si="24"/>
        <v>97.490250000000003</v>
      </c>
      <c r="F72" s="197">
        <f t="shared" si="24"/>
        <v>15.598440000000002</v>
      </c>
      <c r="G72" s="197">
        <f t="shared" si="24"/>
        <v>0</v>
      </c>
      <c r="H72" s="197">
        <f t="shared" si="24"/>
        <v>0</v>
      </c>
      <c r="I72" s="197">
        <f t="shared" si="24"/>
        <v>15.598440000000002</v>
      </c>
      <c r="J72" s="197">
        <f t="shared" si="24"/>
        <v>0</v>
      </c>
      <c r="K72" s="197">
        <f t="shared" si="24"/>
        <v>0</v>
      </c>
      <c r="L72" s="197">
        <f t="shared" si="24"/>
        <v>287.35344000000003</v>
      </c>
      <c r="M72" s="197">
        <f t="shared" si="24"/>
        <v>175.23</v>
      </c>
      <c r="N72" s="197">
        <f t="shared" si="24"/>
        <v>325.23</v>
      </c>
      <c r="O72" s="197">
        <f t="shared" si="24"/>
        <v>823.45344</v>
      </c>
      <c r="P72" s="197">
        <f t="shared" si="24"/>
        <v>649.24199999999996</v>
      </c>
      <c r="Q72" s="197">
        <f t="shared" si="24"/>
        <v>745.76700000000005</v>
      </c>
      <c r="R72" s="197">
        <f t="shared" si="24"/>
        <v>745.76700000000005</v>
      </c>
      <c r="S72" s="197">
        <f t="shared" si="24"/>
        <v>881.2881000000001</v>
      </c>
      <c r="T72" s="197">
        <f t="shared" si="24"/>
        <v>18345.491999999998</v>
      </c>
      <c r="U72" s="197">
        <f t="shared" si="24"/>
        <v>21562.991999999998</v>
      </c>
      <c r="V72" s="197">
        <f t="shared" si="24"/>
        <v>25070.066999999999</v>
      </c>
      <c r="W72" s="197">
        <f t="shared" si="24"/>
        <v>29799.792000000001</v>
      </c>
      <c r="X72" s="197">
        <f t="shared" si="24"/>
        <v>34089.792000000001</v>
      </c>
      <c r="Y72" s="197">
        <f t="shared" si="24"/>
        <v>38322.263099999996</v>
      </c>
      <c r="Z72" s="197">
        <f t="shared" si="24"/>
        <v>42037.017</v>
      </c>
      <c r="AA72" s="197">
        <f t="shared" si="24"/>
        <v>45694.241999999998</v>
      </c>
      <c r="AB72" s="197">
        <f t="shared" si="24"/>
        <v>48780.171000000002</v>
      </c>
      <c r="AC72" s="197">
        <f t="shared" si="24"/>
        <v>51233.324999999997</v>
      </c>
      <c r="AD72" s="197">
        <f t="shared" si="24"/>
        <v>52757.248829999997</v>
      </c>
      <c r="AE72" s="197">
        <f t="shared" si="24"/>
        <v>53636.698830000001</v>
      </c>
      <c r="AF72" s="197">
        <f t="shared" si="24"/>
        <v>858011.69883000001</v>
      </c>
      <c r="AG72" s="197">
        <f t="shared" si="24"/>
        <v>844605.44883000001</v>
      </c>
      <c r="AH72" s="197">
        <f t="shared" si="24"/>
        <v>831199.19883000001</v>
      </c>
      <c r="AI72" s="197">
        <f t="shared" si="24"/>
        <v>817781.25</v>
      </c>
      <c r="AJ72" s="197">
        <f t="shared" si="24"/>
        <v>0</v>
      </c>
      <c r="AK72" s="197">
        <f t="shared" si="24"/>
        <v>0</v>
      </c>
      <c r="AL72" s="197">
        <f t="shared" si="24"/>
        <v>0</v>
      </c>
      <c r="AM72" s="197">
        <f t="shared" si="24"/>
        <v>0</v>
      </c>
      <c r="AN72" s="197">
        <f t="shared" si="24"/>
        <v>0</v>
      </c>
      <c r="AO72" s="197">
        <f t="shared" si="24"/>
        <v>0</v>
      </c>
      <c r="AP72" s="197">
        <f t="shared" si="24"/>
        <v>0</v>
      </c>
      <c r="AQ72" s="197">
        <f t="shared" si="24"/>
        <v>0</v>
      </c>
      <c r="AR72" s="197">
        <f t="shared" si="24"/>
        <v>0</v>
      </c>
      <c r="AS72" s="197">
        <f t="shared" si="24"/>
        <v>0</v>
      </c>
      <c r="AT72" s="197">
        <f t="shared" si="24"/>
        <v>0</v>
      </c>
      <c r="AU72" s="197">
        <f t="shared" si="24"/>
        <v>0</v>
      </c>
      <c r="AV72" s="197">
        <f t="shared" si="24"/>
        <v>0</v>
      </c>
      <c r="AW72" s="197">
        <f t="shared" si="24"/>
        <v>0</v>
      </c>
      <c r="AX72" s="197">
        <f t="shared" si="24"/>
        <v>0</v>
      </c>
      <c r="AY72" s="197">
        <f t="shared" si="24"/>
        <v>0</v>
      </c>
      <c r="AZ72" s="197">
        <f t="shared" si="24"/>
        <v>0</v>
      </c>
      <c r="BA72" s="197">
        <f t="shared" si="24"/>
        <v>0</v>
      </c>
      <c r="BB72" s="197">
        <f t="shared" si="24"/>
        <v>0</v>
      </c>
      <c r="BC72" s="197">
        <f t="shared" si="24"/>
        <v>0</v>
      </c>
      <c r="BD72" s="197">
        <f t="shared" si="24"/>
        <v>0</v>
      </c>
      <c r="BE72" s="197">
        <f t="shared" ref="BE72:BJ72" si="25">SUM(BE68:BE70)</f>
        <v>0</v>
      </c>
      <c r="BF72" s="197">
        <f t="shared" si="25"/>
        <v>0</v>
      </c>
      <c r="BG72" s="197">
        <f t="shared" si="25"/>
        <v>0</v>
      </c>
      <c r="BH72" s="197">
        <f t="shared" si="25"/>
        <v>0</v>
      </c>
      <c r="BI72" s="197">
        <f t="shared" si="25"/>
        <v>0</v>
      </c>
      <c r="BJ72" s="197">
        <f t="shared" si="25"/>
        <v>0</v>
      </c>
      <c r="BK72" s="198">
        <f t="shared" si="21"/>
        <v>3820703.5540500004</v>
      </c>
      <c r="BL72" s="8">
        <v>3805766.2500000005</v>
      </c>
      <c r="BM72" s="8"/>
    </row>
    <row r="73" spans="2:67" ht="15.75" customHeight="1" x14ac:dyDescent="0.3">
      <c r="B73" s="3"/>
      <c r="C73" s="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</row>
    <row r="74" spans="2:67" ht="15.75" customHeight="1" x14ac:dyDescent="0.3">
      <c r="B74" s="196" t="s">
        <v>155</v>
      </c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  <c r="AI74" s="196"/>
      <c r="AJ74" s="196"/>
      <c r="AK74" s="196"/>
      <c r="AL74" s="196"/>
      <c r="AM74" s="196"/>
      <c r="AN74" s="196"/>
      <c r="AO74" s="196"/>
      <c r="AP74" s="196"/>
      <c r="AQ74" s="196"/>
      <c r="AR74" s="196"/>
      <c r="AS74" s="196"/>
      <c r="AT74" s="196"/>
      <c r="AU74" s="196"/>
      <c r="AV74" s="196"/>
      <c r="AW74" s="196"/>
      <c r="AX74" s="196"/>
      <c r="AY74" s="196"/>
      <c r="AZ74" s="196"/>
      <c r="BA74" s="196"/>
      <c r="BB74" s="196"/>
      <c r="BC74" s="196"/>
      <c r="BD74" s="196"/>
      <c r="BE74" s="196"/>
      <c r="BF74" s="196"/>
      <c r="BG74" s="196"/>
      <c r="BH74" s="196"/>
      <c r="BI74" s="196"/>
      <c r="BJ74" s="196"/>
    </row>
    <row r="75" spans="2:67" ht="15.75" customHeight="1" outlineLevel="1" x14ac:dyDescent="0.3"/>
    <row r="76" spans="2:67" ht="15.75" customHeight="1" outlineLevel="1" x14ac:dyDescent="0.3">
      <c r="B76" s="82" t="s">
        <v>156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>
        <f t="shared" ref="BK76:BK78" si="26">SUM(C76:BJ76)</f>
        <v>0</v>
      </c>
      <c r="BL76" s="6">
        <v>0</v>
      </c>
      <c r="BM76" s="6"/>
    </row>
    <row r="77" spans="2:67" ht="15.75" customHeight="1" outlineLevel="1" x14ac:dyDescent="0.3">
      <c r="B77" s="74" t="s">
        <v>41</v>
      </c>
      <c r="C77" s="6">
        <f t="shared" ref="C77:BJ77" si="27">+SUM(C75:C76)*18%</f>
        <v>0</v>
      </c>
      <c r="D77" s="6">
        <f t="shared" si="27"/>
        <v>0</v>
      </c>
      <c r="E77" s="6">
        <f t="shared" si="27"/>
        <v>0</v>
      </c>
      <c r="F77" s="6">
        <f t="shared" si="27"/>
        <v>0</v>
      </c>
      <c r="G77" s="6">
        <f t="shared" si="27"/>
        <v>0</v>
      </c>
      <c r="H77" s="6">
        <f t="shared" si="27"/>
        <v>0</v>
      </c>
      <c r="I77" s="6">
        <f t="shared" si="27"/>
        <v>0</v>
      </c>
      <c r="J77" s="6">
        <f t="shared" si="27"/>
        <v>0</v>
      </c>
      <c r="K77" s="6">
        <f t="shared" si="27"/>
        <v>0</v>
      </c>
      <c r="L77" s="6">
        <f t="shared" si="27"/>
        <v>0</v>
      </c>
      <c r="M77" s="6">
        <f t="shared" si="27"/>
        <v>0</v>
      </c>
      <c r="N77" s="6">
        <f t="shared" si="27"/>
        <v>0</v>
      </c>
      <c r="O77" s="6">
        <f t="shared" si="27"/>
        <v>0</v>
      </c>
      <c r="P77" s="6">
        <f t="shared" si="27"/>
        <v>0</v>
      </c>
      <c r="Q77" s="6">
        <f t="shared" si="27"/>
        <v>0</v>
      </c>
      <c r="R77" s="6">
        <f t="shared" si="27"/>
        <v>0</v>
      </c>
      <c r="S77" s="6">
        <f t="shared" si="27"/>
        <v>0</v>
      </c>
      <c r="T77" s="6">
        <f t="shared" si="27"/>
        <v>0</v>
      </c>
      <c r="U77" s="6">
        <f t="shared" si="27"/>
        <v>0</v>
      </c>
      <c r="V77" s="6">
        <f t="shared" si="27"/>
        <v>0</v>
      </c>
      <c r="W77" s="6">
        <f t="shared" si="27"/>
        <v>0</v>
      </c>
      <c r="X77" s="6">
        <f t="shared" si="27"/>
        <v>0</v>
      </c>
      <c r="Y77" s="6">
        <f t="shared" si="27"/>
        <v>0</v>
      </c>
      <c r="Z77" s="6">
        <f t="shared" si="27"/>
        <v>0</v>
      </c>
      <c r="AA77" s="6">
        <f t="shared" si="27"/>
        <v>0</v>
      </c>
      <c r="AB77" s="6">
        <f t="shared" si="27"/>
        <v>0</v>
      </c>
      <c r="AC77" s="6">
        <f t="shared" si="27"/>
        <v>0</v>
      </c>
      <c r="AD77" s="6">
        <f t="shared" si="27"/>
        <v>0</v>
      </c>
      <c r="AE77" s="6">
        <f t="shared" si="27"/>
        <v>0</v>
      </c>
      <c r="AF77" s="6">
        <f t="shared" si="27"/>
        <v>0</v>
      </c>
      <c r="AG77" s="6">
        <f t="shared" si="27"/>
        <v>0</v>
      </c>
      <c r="AH77" s="6">
        <f t="shared" si="27"/>
        <v>0</v>
      </c>
      <c r="AI77" s="6">
        <f t="shared" si="27"/>
        <v>0</v>
      </c>
      <c r="AJ77" s="6">
        <f t="shared" si="27"/>
        <v>0</v>
      </c>
      <c r="AK77" s="6">
        <f t="shared" si="27"/>
        <v>0</v>
      </c>
      <c r="AL77" s="6">
        <f t="shared" si="27"/>
        <v>0</v>
      </c>
      <c r="AM77" s="6">
        <f t="shared" si="27"/>
        <v>0</v>
      </c>
      <c r="AN77" s="6">
        <f t="shared" si="27"/>
        <v>0</v>
      </c>
      <c r="AO77" s="6">
        <f t="shared" si="27"/>
        <v>0</v>
      </c>
      <c r="AP77" s="6">
        <f t="shared" si="27"/>
        <v>0</v>
      </c>
      <c r="AQ77" s="6">
        <f t="shared" si="27"/>
        <v>0</v>
      </c>
      <c r="AR77" s="6">
        <f t="shared" si="27"/>
        <v>0</v>
      </c>
      <c r="AS77" s="6">
        <f t="shared" si="27"/>
        <v>0</v>
      </c>
      <c r="AT77" s="6">
        <f t="shared" si="27"/>
        <v>0</v>
      </c>
      <c r="AU77" s="6">
        <f t="shared" si="27"/>
        <v>0</v>
      </c>
      <c r="AV77" s="6">
        <f t="shared" si="27"/>
        <v>0</v>
      </c>
      <c r="AW77" s="6">
        <f t="shared" si="27"/>
        <v>0</v>
      </c>
      <c r="AX77" s="6">
        <f t="shared" si="27"/>
        <v>0</v>
      </c>
      <c r="AY77" s="6">
        <f t="shared" si="27"/>
        <v>0</v>
      </c>
      <c r="AZ77" s="6">
        <f t="shared" si="27"/>
        <v>0</v>
      </c>
      <c r="BA77" s="6">
        <f t="shared" si="27"/>
        <v>0</v>
      </c>
      <c r="BB77" s="6">
        <f t="shared" si="27"/>
        <v>0</v>
      </c>
      <c r="BC77" s="6">
        <f t="shared" si="27"/>
        <v>0</v>
      </c>
      <c r="BD77" s="6">
        <f t="shared" si="27"/>
        <v>0</v>
      </c>
      <c r="BE77" s="6">
        <f t="shared" si="27"/>
        <v>0</v>
      </c>
      <c r="BF77" s="6">
        <f t="shared" si="27"/>
        <v>0</v>
      </c>
      <c r="BG77" s="6">
        <f t="shared" si="27"/>
        <v>0</v>
      </c>
      <c r="BH77" s="6">
        <f t="shared" si="27"/>
        <v>0</v>
      </c>
      <c r="BI77" s="6">
        <f t="shared" si="27"/>
        <v>0</v>
      </c>
      <c r="BJ77" s="6">
        <f t="shared" si="27"/>
        <v>0</v>
      </c>
      <c r="BK77" s="6">
        <f t="shared" si="26"/>
        <v>0</v>
      </c>
      <c r="BL77" s="6"/>
    </row>
    <row r="78" spans="2:67" ht="15.75" customHeight="1" x14ac:dyDescent="0.3">
      <c r="B78" s="197" t="s">
        <v>18</v>
      </c>
      <c r="C78" s="197">
        <f t="shared" ref="C78:BJ78" si="28">SUM(C76:C77)</f>
        <v>0</v>
      </c>
      <c r="D78" s="197">
        <f t="shared" si="28"/>
        <v>0</v>
      </c>
      <c r="E78" s="197">
        <f t="shared" si="28"/>
        <v>0</v>
      </c>
      <c r="F78" s="197">
        <f t="shared" si="28"/>
        <v>0</v>
      </c>
      <c r="G78" s="197">
        <f t="shared" si="28"/>
        <v>0</v>
      </c>
      <c r="H78" s="197">
        <f t="shared" si="28"/>
        <v>0</v>
      </c>
      <c r="I78" s="197">
        <f t="shared" si="28"/>
        <v>0</v>
      </c>
      <c r="J78" s="197">
        <f t="shared" si="28"/>
        <v>0</v>
      </c>
      <c r="K78" s="197">
        <f t="shared" si="28"/>
        <v>0</v>
      </c>
      <c r="L78" s="197">
        <f t="shared" si="28"/>
        <v>0</v>
      </c>
      <c r="M78" s="197">
        <f t="shared" si="28"/>
        <v>0</v>
      </c>
      <c r="N78" s="197">
        <f t="shared" si="28"/>
        <v>0</v>
      </c>
      <c r="O78" s="197">
        <f t="shared" si="28"/>
        <v>0</v>
      </c>
      <c r="P78" s="197">
        <f t="shared" si="28"/>
        <v>0</v>
      </c>
      <c r="Q78" s="197">
        <f t="shared" si="28"/>
        <v>0</v>
      </c>
      <c r="R78" s="197">
        <f t="shared" si="28"/>
        <v>0</v>
      </c>
      <c r="S78" s="197">
        <f t="shared" si="28"/>
        <v>0</v>
      </c>
      <c r="T78" s="197">
        <f t="shared" si="28"/>
        <v>0</v>
      </c>
      <c r="U78" s="197">
        <f t="shared" si="28"/>
        <v>0</v>
      </c>
      <c r="V78" s="197">
        <f t="shared" si="28"/>
        <v>0</v>
      </c>
      <c r="W78" s="197">
        <f t="shared" si="28"/>
        <v>0</v>
      </c>
      <c r="X78" s="197">
        <f t="shared" si="28"/>
        <v>0</v>
      </c>
      <c r="Y78" s="197">
        <f t="shared" si="28"/>
        <v>0</v>
      </c>
      <c r="Z78" s="197">
        <f t="shared" si="28"/>
        <v>0</v>
      </c>
      <c r="AA78" s="197">
        <f t="shared" si="28"/>
        <v>0</v>
      </c>
      <c r="AB78" s="197">
        <f t="shared" si="28"/>
        <v>0</v>
      </c>
      <c r="AC78" s="197">
        <f t="shared" si="28"/>
        <v>0</v>
      </c>
      <c r="AD78" s="197">
        <f t="shared" si="28"/>
        <v>0</v>
      </c>
      <c r="AE78" s="197">
        <f t="shared" si="28"/>
        <v>0</v>
      </c>
      <c r="AF78" s="197">
        <f t="shared" si="28"/>
        <v>0</v>
      </c>
      <c r="AG78" s="197">
        <f t="shared" si="28"/>
        <v>0</v>
      </c>
      <c r="AH78" s="197">
        <f t="shared" si="28"/>
        <v>0</v>
      </c>
      <c r="AI78" s="197">
        <f t="shared" si="28"/>
        <v>0</v>
      </c>
      <c r="AJ78" s="197">
        <f t="shared" si="28"/>
        <v>0</v>
      </c>
      <c r="AK78" s="197">
        <f t="shared" si="28"/>
        <v>0</v>
      </c>
      <c r="AL78" s="197">
        <f t="shared" si="28"/>
        <v>0</v>
      </c>
      <c r="AM78" s="197">
        <f t="shared" si="28"/>
        <v>0</v>
      </c>
      <c r="AN78" s="197">
        <f t="shared" si="28"/>
        <v>0</v>
      </c>
      <c r="AO78" s="197">
        <f t="shared" si="28"/>
        <v>0</v>
      </c>
      <c r="AP78" s="197">
        <f t="shared" si="28"/>
        <v>0</v>
      </c>
      <c r="AQ78" s="197">
        <f t="shared" si="28"/>
        <v>0</v>
      </c>
      <c r="AR78" s="197">
        <f t="shared" si="28"/>
        <v>0</v>
      </c>
      <c r="AS78" s="197">
        <f t="shared" si="28"/>
        <v>0</v>
      </c>
      <c r="AT78" s="197">
        <f t="shared" si="28"/>
        <v>0</v>
      </c>
      <c r="AU78" s="197">
        <f t="shared" si="28"/>
        <v>0</v>
      </c>
      <c r="AV78" s="197">
        <f t="shared" si="28"/>
        <v>0</v>
      </c>
      <c r="AW78" s="197">
        <f t="shared" si="28"/>
        <v>0</v>
      </c>
      <c r="AX78" s="197">
        <f t="shared" si="28"/>
        <v>0</v>
      </c>
      <c r="AY78" s="197">
        <f t="shared" si="28"/>
        <v>0</v>
      </c>
      <c r="AZ78" s="197">
        <f t="shared" si="28"/>
        <v>0</v>
      </c>
      <c r="BA78" s="197">
        <f t="shared" si="28"/>
        <v>0</v>
      </c>
      <c r="BB78" s="197">
        <f t="shared" si="28"/>
        <v>0</v>
      </c>
      <c r="BC78" s="197">
        <f t="shared" si="28"/>
        <v>0</v>
      </c>
      <c r="BD78" s="197">
        <f t="shared" si="28"/>
        <v>0</v>
      </c>
      <c r="BE78" s="197">
        <f t="shared" si="28"/>
        <v>0</v>
      </c>
      <c r="BF78" s="197">
        <f t="shared" si="28"/>
        <v>0</v>
      </c>
      <c r="BG78" s="197">
        <f t="shared" si="28"/>
        <v>0</v>
      </c>
      <c r="BH78" s="197">
        <f t="shared" si="28"/>
        <v>0</v>
      </c>
      <c r="BI78" s="197">
        <f t="shared" si="28"/>
        <v>0</v>
      </c>
      <c r="BJ78" s="197">
        <f t="shared" si="28"/>
        <v>0</v>
      </c>
      <c r="BK78" s="198">
        <f t="shared" si="26"/>
        <v>0</v>
      </c>
      <c r="BL78" s="8">
        <v>0</v>
      </c>
      <c r="BM78" s="8"/>
    </row>
    <row r="79" spans="2:67" ht="15.75" customHeight="1" x14ac:dyDescent="0.3">
      <c r="C79" s="6"/>
      <c r="O79" s="6"/>
      <c r="P79" s="6"/>
      <c r="BL79" s="6"/>
    </row>
    <row r="80" spans="2:67" ht="15.75" customHeight="1" x14ac:dyDescent="0.3">
      <c r="B80" s="196" t="s">
        <v>50</v>
      </c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96"/>
      <c r="AC80" s="196"/>
      <c r="AD80" s="196"/>
      <c r="AE80" s="196"/>
      <c r="AF80" s="196"/>
      <c r="AG80" s="196"/>
      <c r="AH80" s="196"/>
      <c r="AI80" s="196"/>
      <c r="AJ80" s="196"/>
      <c r="AK80" s="196"/>
      <c r="AL80" s="196"/>
      <c r="AM80" s="196"/>
      <c r="AN80" s="196"/>
      <c r="AO80" s="196"/>
      <c r="AP80" s="196"/>
      <c r="AQ80" s="196"/>
      <c r="AR80" s="196"/>
      <c r="AS80" s="196"/>
      <c r="AT80" s="196"/>
      <c r="AU80" s="196"/>
      <c r="AV80" s="196"/>
      <c r="AW80" s="196"/>
      <c r="AX80" s="196"/>
      <c r="AY80" s="196"/>
      <c r="AZ80" s="196"/>
      <c r="BA80" s="196"/>
      <c r="BB80" s="196"/>
      <c r="BC80" s="196"/>
      <c r="BD80" s="196"/>
      <c r="BE80" s="196"/>
      <c r="BF80" s="196"/>
      <c r="BG80" s="196"/>
      <c r="BH80" s="196"/>
      <c r="BI80" s="196"/>
      <c r="BJ80" s="196"/>
      <c r="BL80" s="6"/>
    </row>
    <row r="81" spans="1:82" ht="15.75" customHeight="1" outlineLevel="1" x14ac:dyDescent="0.3">
      <c r="B81" s="3" t="s">
        <v>51</v>
      </c>
      <c r="C81" s="208"/>
      <c r="D81" s="208"/>
      <c r="E81" s="208"/>
      <c r="F81" s="6"/>
      <c r="G81" s="208"/>
      <c r="H81" s="6"/>
      <c r="I81" s="208"/>
      <c r="J81" s="3"/>
      <c r="K81" s="6"/>
      <c r="L81" s="3"/>
      <c r="M81" s="208"/>
      <c r="N81" s="6">
        <v>100000</v>
      </c>
      <c r="O81" s="6">
        <v>100000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208"/>
      <c r="AS81" s="208"/>
      <c r="AT81" s="208"/>
      <c r="AU81" s="208"/>
      <c r="AV81" s="208"/>
      <c r="AW81" s="208"/>
      <c r="AX81" s="208"/>
      <c r="AY81" s="208"/>
      <c r="AZ81" s="208"/>
      <c r="BA81" s="208"/>
      <c r="BB81" s="208"/>
      <c r="BC81" s="208"/>
      <c r="BD81" s="208"/>
      <c r="BE81" s="208"/>
      <c r="BF81" s="208"/>
      <c r="BG81" s="208"/>
      <c r="BH81" s="208"/>
      <c r="BI81" s="208"/>
      <c r="BJ81" s="208"/>
      <c r="BL81" s="6"/>
    </row>
    <row r="82" spans="1:82" ht="15.75" customHeight="1" outlineLevel="1" x14ac:dyDescent="0.3">
      <c r="A82" s="6"/>
      <c r="B82" s="6" t="s">
        <v>159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99000</v>
      </c>
      <c r="M82" s="6">
        <v>99000</v>
      </c>
      <c r="N82" s="6">
        <v>99000</v>
      </c>
      <c r="O82" s="6">
        <v>99000</v>
      </c>
      <c r="P82" s="6">
        <v>39600</v>
      </c>
      <c r="Q82" s="6">
        <v>39600</v>
      </c>
      <c r="R82" s="6">
        <v>39600</v>
      </c>
      <c r="S82" s="6">
        <v>39600</v>
      </c>
      <c r="T82" s="6">
        <v>39600</v>
      </c>
      <c r="U82" s="6">
        <v>39600</v>
      </c>
      <c r="V82" s="6">
        <v>39600</v>
      </c>
      <c r="W82" s="6">
        <v>39600</v>
      </c>
      <c r="X82" s="6">
        <v>39600</v>
      </c>
      <c r="Y82" s="6">
        <v>39600</v>
      </c>
      <c r="Z82" s="6">
        <v>39600</v>
      </c>
      <c r="AA82" s="6">
        <v>39600</v>
      </c>
      <c r="AB82" s="6">
        <v>19800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f t="shared" ref="BK82:BK84" si="29">SUM(C82:BJ82)</f>
        <v>891000</v>
      </c>
      <c r="BL82" s="6">
        <v>0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</row>
    <row r="83" spans="1:82" ht="15.75" customHeight="1" outlineLevel="1" x14ac:dyDescent="0.3">
      <c r="B83" s="3" t="s">
        <v>41</v>
      </c>
      <c r="C83" s="6">
        <f t="shared" ref="C83:BJ83" si="30">+SUM(C82)*18%</f>
        <v>0</v>
      </c>
      <c r="D83" s="6">
        <f t="shared" si="30"/>
        <v>0</v>
      </c>
      <c r="E83" s="6">
        <f t="shared" si="30"/>
        <v>0</v>
      </c>
      <c r="F83" s="6">
        <f t="shared" si="30"/>
        <v>0</v>
      </c>
      <c r="G83" s="6">
        <f t="shared" si="30"/>
        <v>0</v>
      </c>
      <c r="H83" s="6">
        <f t="shared" si="30"/>
        <v>0</v>
      </c>
      <c r="I83" s="6">
        <f t="shared" si="30"/>
        <v>0</v>
      </c>
      <c r="J83" s="6">
        <f t="shared" si="30"/>
        <v>0</v>
      </c>
      <c r="K83" s="6">
        <f t="shared" si="30"/>
        <v>0</v>
      </c>
      <c r="L83" s="6">
        <f t="shared" si="30"/>
        <v>17820</v>
      </c>
      <c r="M83" s="6">
        <f t="shared" si="30"/>
        <v>17820</v>
      </c>
      <c r="N83" s="6">
        <f t="shared" si="30"/>
        <v>17820</v>
      </c>
      <c r="O83" s="6">
        <f t="shared" si="30"/>
        <v>17820</v>
      </c>
      <c r="P83" s="6">
        <f t="shared" si="30"/>
        <v>7128</v>
      </c>
      <c r="Q83" s="6">
        <f t="shared" si="30"/>
        <v>7128</v>
      </c>
      <c r="R83" s="6">
        <f t="shared" si="30"/>
        <v>7128</v>
      </c>
      <c r="S83" s="6">
        <f t="shared" si="30"/>
        <v>7128</v>
      </c>
      <c r="T83" s="6">
        <f t="shared" si="30"/>
        <v>7128</v>
      </c>
      <c r="U83" s="6">
        <f t="shared" si="30"/>
        <v>7128</v>
      </c>
      <c r="V83" s="6">
        <f t="shared" si="30"/>
        <v>7128</v>
      </c>
      <c r="W83" s="6">
        <f t="shared" si="30"/>
        <v>7128</v>
      </c>
      <c r="X83" s="6">
        <f t="shared" si="30"/>
        <v>7128</v>
      </c>
      <c r="Y83" s="6">
        <f t="shared" si="30"/>
        <v>7128</v>
      </c>
      <c r="Z83" s="6">
        <f t="shared" si="30"/>
        <v>7128</v>
      </c>
      <c r="AA83" s="6">
        <f t="shared" si="30"/>
        <v>7128</v>
      </c>
      <c r="AB83" s="6">
        <f t="shared" si="30"/>
        <v>3564</v>
      </c>
      <c r="AC83" s="6">
        <f t="shared" si="30"/>
        <v>0</v>
      </c>
      <c r="AD83" s="6">
        <f t="shared" si="30"/>
        <v>0</v>
      </c>
      <c r="AE83" s="6">
        <f t="shared" si="30"/>
        <v>0</v>
      </c>
      <c r="AF83" s="6">
        <f t="shared" si="30"/>
        <v>0</v>
      </c>
      <c r="AG83" s="6">
        <f t="shared" si="30"/>
        <v>0</v>
      </c>
      <c r="AH83" s="6">
        <f t="shared" si="30"/>
        <v>0</v>
      </c>
      <c r="AI83" s="6">
        <f t="shared" si="30"/>
        <v>0</v>
      </c>
      <c r="AJ83" s="6">
        <f t="shared" si="30"/>
        <v>0</v>
      </c>
      <c r="AK83" s="6">
        <f t="shared" si="30"/>
        <v>0</v>
      </c>
      <c r="AL83" s="6">
        <f t="shared" si="30"/>
        <v>0</v>
      </c>
      <c r="AM83" s="6">
        <f t="shared" si="30"/>
        <v>0</v>
      </c>
      <c r="AN83" s="6">
        <f t="shared" si="30"/>
        <v>0</v>
      </c>
      <c r="AO83" s="6">
        <f t="shared" si="30"/>
        <v>0</v>
      </c>
      <c r="AP83" s="6">
        <f t="shared" si="30"/>
        <v>0</v>
      </c>
      <c r="AQ83" s="6">
        <f t="shared" si="30"/>
        <v>0</v>
      </c>
      <c r="AR83" s="6">
        <f t="shared" si="30"/>
        <v>0</v>
      </c>
      <c r="AS83" s="6">
        <f t="shared" si="30"/>
        <v>0</v>
      </c>
      <c r="AT83" s="6">
        <f t="shared" si="30"/>
        <v>0</v>
      </c>
      <c r="AU83" s="6">
        <f t="shared" si="30"/>
        <v>0</v>
      </c>
      <c r="AV83" s="6">
        <f t="shared" si="30"/>
        <v>0</v>
      </c>
      <c r="AW83" s="6">
        <f t="shared" si="30"/>
        <v>0</v>
      </c>
      <c r="AX83" s="6">
        <f t="shared" si="30"/>
        <v>0</v>
      </c>
      <c r="AY83" s="6">
        <f t="shared" si="30"/>
        <v>0</v>
      </c>
      <c r="AZ83" s="6">
        <f t="shared" si="30"/>
        <v>0</v>
      </c>
      <c r="BA83" s="6">
        <f t="shared" si="30"/>
        <v>0</v>
      </c>
      <c r="BB83" s="6">
        <f t="shared" si="30"/>
        <v>0</v>
      </c>
      <c r="BC83" s="6">
        <f t="shared" si="30"/>
        <v>0</v>
      </c>
      <c r="BD83" s="6">
        <f t="shared" si="30"/>
        <v>0</v>
      </c>
      <c r="BE83" s="6">
        <f t="shared" si="30"/>
        <v>0</v>
      </c>
      <c r="BF83" s="6">
        <f t="shared" si="30"/>
        <v>0</v>
      </c>
      <c r="BG83" s="6">
        <f t="shared" si="30"/>
        <v>0</v>
      </c>
      <c r="BH83" s="6">
        <f t="shared" si="30"/>
        <v>0</v>
      </c>
      <c r="BI83" s="6">
        <f t="shared" si="30"/>
        <v>0</v>
      </c>
      <c r="BJ83" s="6">
        <f t="shared" si="30"/>
        <v>0</v>
      </c>
      <c r="BK83" s="6">
        <f t="shared" si="29"/>
        <v>160380</v>
      </c>
      <c r="BL83" s="6">
        <v>0</v>
      </c>
    </row>
    <row r="84" spans="1:82" ht="15.75" customHeight="1" x14ac:dyDescent="0.3">
      <c r="B84" s="197" t="s">
        <v>18</v>
      </c>
      <c r="C84" s="197">
        <f t="shared" ref="C84:BJ84" si="31">SUM(C81:C83)</f>
        <v>0</v>
      </c>
      <c r="D84" s="197">
        <f t="shared" si="31"/>
        <v>0</v>
      </c>
      <c r="E84" s="197">
        <f t="shared" si="31"/>
        <v>0</v>
      </c>
      <c r="F84" s="197">
        <f t="shared" si="31"/>
        <v>0</v>
      </c>
      <c r="G84" s="197">
        <f t="shared" si="31"/>
        <v>0</v>
      </c>
      <c r="H84" s="197">
        <f t="shared" si="31"/>
        <v>0</v>
      </c>
      <c r="I84" s="197">
        <f t="shared" si="31"/>
        <v>0</v>
      </c>
      <c r="J84" s="197">
        <f t="shared" si="31"/>
        <v>0</v>
      </c>
      <c r="K84" s="197">
        <f t="shared" si="31"/>
        <v>0</v>
      </c>
      <c r="L84" s="197">
        <f t="shared" si="31"/>
        <v>116820</v>
      </c>
      <c r="M84" s="197">
        <f t="shared" si="31"/>
        <v>116820</v>
      </c>
      <c r="N84" s="197">
        <f t="shared" si="31"/>
        <v>216820</v>
      </c>
      <c r="O84" s="197">
        <f t="shared" si="31"/>
        <v>216820</v>
      </c>
      <c r="P84" s="197">
        <f t="shared" si="31"/>
        <v>46728</v>
      </c>
      <c r="Q84" s="197">
        <f t="shared" si="31"/>
        <v>46728</v>
      </c>
      <c r="R84" s="197">
        <f t="shared" si="31"/>
        <v>46728</v>
      </c>
      <c r="S84" s="197">
        <f t="shared" si="31"/>
        <v>46728</v>
      </c>
      <c r="T84" s="197">
        <f t="shared" si="31"/>
        <v>46728</v>
      </c>
      <c r="U84" s="197">
        <f t="shared" si="31"/>
        <v>46728</v>
      </c>
      <c r="V84" s="197">
        <f t="shared" si="31"/>
        <v>46728</v>
      </c>
      <c r="W84" s="197">
        <f t="shared" si="31"/>
        <v>46728</v>
      </c>
      <c r="X84" s="197">
        <f t="shared" si="31"/>
        <v>46728</v>
      </c>
      <c r="Y84" s="197">
        <f t="shared" si="31"/>
        <v>46728</v>
      </c>
      <c r="Z84" s="197">
        <f t="shared" si="31"/>
        <v>46728</v>
      </c>
      <c r="AA84" s="197">
        <f t="shared" si="31"/>
        <v>46728</v>
      </c>
      <c r="AB84" s="197">
        <f t="shared" si="31"/>
        <v>23364</v>
      </c>
      <c r="AC84" s="197">
        <f t="shared" si="31"/>
        <v>0</v>
      </c>
      <c r="AD84" s="197">
        <f t="shared" si="31"/>
        <v>0</v>
      </c>
      <c r="AE84" s="197">
        <f t="shared" si="31"/>
        <v>0</v>
      </c>
      <c r="AF84" s="197">
        <f t="shared" si="31"/>
        <v>0</v>
      </c>
      <c r="AG84" s="197">
        <f t="shared" si="31"/>
        <v>0</v>
      </c>
      <c r="AH84" s="197">
        <f t="shared" si="31"/>
        <v>0</v>
      </c>
      <c r="AI84" s="197">
        <f t="shared" si="31"/>
        <v>0</v>
      </c>
      <c r="AJ84" s="197">
        <f t="shared" si="31"/>
        <v>0</v>
      </c>
      <c r="AK84" s="197">
        <f t="shared" si="31"/>
        <v>0</v>
      </c>
      <c r="AL84" s="197">
        <f t="shared" si="31"/>
        <v>0</v>
      </c>
      <c r="AM84" s="197">
        <f t="shared" si="31"/>
        <v>0</v>
      </c>
      <c r="AN84" s="197">
        <f t="shared" si="31"/>
        <v>0</v>
      </c>
      <c r="AO84" s="197">
        <f t="shared" si="31"/>
        <v>0</v>
      </c>
      <c r="AP84" s="197">
        <f t="shared" si="31"/>
        <v>0</v>
      </c>
      <c r="AQ84" s="197">
        <f t="shared" si="31"/>
        <v>0</v>
      </c>
      <c r="AR84" s="197">
        <f t="shared" si="31"/>
        <v>0</v>
      </c>
      <c r="AS84" s="197">
        <f t="shared" si="31"/>
        <v>0</v>
      </c>
      <c r="AT84" s="197">
        <f t="shared" si="31"/>
        <v>0</v>
      </c>
      <c r="AU84" s="197">
        <f t="shared" si="31"/>
        <v>0</v>
      </c>
      <c r="AV84" s="197">
        <f t="shared" si="31"/>
        <v>0</v>
      </c>
      <c r="AW84" s="197">
        <f t="shared" si="31"/>
        <v>0</v>
      </c>
      <c r="AX84" s="197">
        <f t="shared" si="31"/>
        <v>0</v>
      </c>
      <c r="AY84" s="197">
        <f t="shared" si="31"/>
        <v>0</v>
      </c>
      <c r="AZ84" s="197">
        <f t="shared" si="31"/>
        <v>0</v>
      </c>
      <c r="BA84" s="197">
        <f t="shared" si="31"/>
        <v>0</v>
      </c>
      <c r="BB84" s="197">
        <f t="shared" si="31"/>
        <v>0</v>
      </c>
      <c r="BC84" s="197">
        <f t="shared" si="31"/>
        <v>0</v>
      </c>
      <c r="BD84" s="197">
        <f t="shared" si="31"/>
        <v>0</v>
      </c>
      <c r="BE84" s="197">
        <f t="shared" si="31"/>
        <v>0</v>
      </c>
      <c r="BF84" s="197">
        <f t="shared" si="31"/>
        <v>0</v>
      </c>
      <c r="BG84" s="197">
        <f t="shared" si="31"/>
        <v>0</v>
      </c>
      <c r="BH84" s="197">
        <f t="shared" si="31"/>
        <v>0</v>
      </c>
      <c r="BI84" s="197">
        <f t="shared" si="31"/>
        <v>0</v>
      </c>
      <c r="BJ84" s="197">
        <f t="shared" si="31"/>
        <v>0</v>
      </c>
      <c r="BK84" s="198">
        <f t="shared" si="29"/>
        <v>1251380</v>
      </c>
      <c r="BL84" s="8">
        <v>0</v>
      </c>
      <c r="BM84" s="8"/>
    </row>
    <row r="85" spans="1:82" ht="15.75" customHeight="1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</row>
    <row r="86" spans="1:82" ht="15.75" customHeight="1" x14ac:dyDescent="0.3">
      <c r="B86" s="193" t="s">
        <v>52</v>
      </c>
      <c r="C86" s="193">
        <f t="shared" ref="C86:BJ86" si="32">+C84+C78+C65+C54+C41+C29+C72</f>
        <v>1962832.2986899999</v>
      </c>
      <c r="D86" s="193">
        <f t="shared" si="32"/>
        <v>50075</v>
      </c>
      <c r="E86" s="193">
        <f t="shared" si="32"/>
        <v>65090.990250000003</v>
      </c>
      <c r="F86" s="193">
        <f t="shared" si="32"/>
        <v>10414.558440000001</v>
      </c>
      <c r="G86" s="193">
        <f t="shared" si="32"/>
        <v>0</v>
      </c>
      <c r="H86" s="193">
        <f t="shared" si="32"/>
        <v>0</v>
      </c>
      <c r="I86" s="193">
        <f t="shared" si="32"/>
        <v>10414.558440000001</v>
      </c>
      <c r="J86" s="193">
        <f t="shared" si="32"/>
        <v>0</v>
      </c>
      <c r="K86" s="193">
        <f t="shared" si="32"/>
        <v>0</v>
      </c>
      <c r="L86" s="193">
        <f t="shared" si="32"/>
        <v>191856.31344000003</v>
      </c>
      <c r="M86" s="193">
        <f t="shared" si="32"/>
        <v>116995.23</v>
      </c>
      <c r="N86" s="193">
        <f t="shared" si="32"/>
        <v>217145.23</v>
      </c>
      <c r="O86" s="193">
        <f t="shared" si="32"/>
        <v>549792.41343999992</v>
      </c>
      <c r="P86" s="193">
        <f t="shared" si="32"/>
        <v>433477.24200000003</v>
      </c>
      <c r="Q86" s="193">
        <f t="shared" si="32"/>
        <v>497923.76700000005</v>
      </c>
      <c r="R86" s="193">
        <f t="shared" si="32"/>
        <v>497923.76700000005</v>
      </c>
      <c r="S86" s="193">
        <f t="shared" si="32"/>
        <v>588406.68810000003</v>
      </c>
      <c r="T86" s="193">
        <f t="shared" si="32"/>
        <v>451173.49199999997</v>
      </c>
      <c r="U86" s="193">
        <f t="shared" si="32"/>
        <v>454390.99199999997</v>
      </c>
      <c r="V86" s="193">
        <f t="shared" si="32"/>
        <v>650948.06700000004</v>
      </c>
      <c r="W86" s="193">
        <f t="shared" si="32"/>
        <v>591327.79200000002</v>
      </c>
      <c r="X86" s="193">
        <f t="shared" si="32"/>
        <v>595617.79200000002</v>
      </c>
      <c r="Y86" s="193">
        <f t="shared" si="32"/>
        <v>561497.66310000001</v>
      </c>
      <c r="Z86" s="193">
        <f t="shared" si="32"/>
        <v>539215.01700000011</v>
      </c>
      <c r="AA86" s="193">
        <f t="shared" si="32"/>
        <v>478522.24199999997</v>
      </c>
      <c r="AB86" s="193">
        <f t="shared" si="32"/>
        <v>393894.17099999997</v>
      </c>
      <c r="AC86" s="193">
        <f t="shared" si="32"/>
        <v>244283.32500000001</v>
      </c>
      <c r="AD86" s="193">
        <f t="shared" si="32"/>
        <v>189256.46883</v>
      </c>
      <c r="AE86" s="193">
        <f t="shared" si="32"/>
        <v>61435.918830000002</v>
      </c>
      <c r="AF86" s="193">
        <f t="shared" si="32"/>
        <v>865810.91882999998</v>
      </c>
      <c r="AG86" s="193">
        <f t="shared" si="32"/>
        <v>852404.66882999998</v>
      </c>
      <c r="AH86" s="193">
        <f t="shared" si="32"/>
        <v>838998.41882999998</v>
      </c>
      <c r="AI86" s="193">
        <f t="shared" si="32"/>
        <v>817781.25</v>
      </c>
      <c r="AJ86" s="193">
        <f t="shared" si="32"/>
        <v>0</v>
      </c>
      <c r="AK86" s="193">
        <f t="shared" si="32"/>
        <v>0</v>
      </c>
      <c r="AL86" s="193">
        <f t="shared" si="32"/>
        <v>0</v>
      </c>
      <c r="AM86" s="193">
        <f t="shared" si="32"/>
        <v>0</v>
      </c>
      <c r="AN86" s="193">
        <f t="shared" si="32"/>
        <v>0</v>
      </c>
      <c r="AO86" s="193">
        <f t="shared" si="32"/>
        <v>0</v>
      </c>
      <c r="AP86" s="193">
        <f t="shared" si="32"/>
        <v>0</v>
      </c>
      <c r="AQ86" s="193">
        <f t="shared" si="32"/>
        <v>0</v>
      </c>
      <c r="AR86" s="193">
        <f t="shared" si="32"/>
        <v>0</v>
      </c>
      <c r="AS86" s="193">
        <f t="shared" si="32"/>
        <v>0</v>
      </c>
      <c r="AT86" s="193">
        <f t="shared" si="32"/>
        <v>0</v>
      </c>
      <c r="AU86" s="193">
        <f t="shared" si="32"/>
        <v>0</v>
      </c>
      <c r="AV86" s="193">
        <f t="shared" si="32"/>
        <v>0</v>
      </c>
      <c r="AW86" s="193">
        <f t="shared" si="32"/>
        <v>0</v>
      </c>
      <c r="AX86" s="193">
        <f t="shared" si="32"/>
        <v>0</v>
      </c>
      <c r="AY86" s="193">
        <f t="shared" si="32"/>
        <v>0</v>
      </c>
      <c r="AZ86" s="193">
        <f t="shared" si="32"/>
        <v>0</v>
      </c>
      <c r="BA86" s="193">
        <f t="shared" si="32"/>
        <v>0</v>
      </c>
      <c r="BB86" s="193">
        <f t="shared" si="32"/>
        <v>0</v>
      </c>
      <c r="BC86" s="193">
        <f t="shared" si="32"/>
        <v>0</v>
      </c>
      <c r="BD86" s="193">
        <f t="shared" si="32"/>
        <v>0</v>
      </c>
      <c r="BE86" s="193">
        <f t="shared" si="32"/>
        <v>0</v>
      </c>
      <c r="BF86" s="193">
        <f t="shared" si="32"/>
        <v>0</v>
      </c>
      <c r="BG86" s="193">
        <f t="shared" si="32"/>
        <v>0</v>
      </c>
      <c r="BH86" s="193">
        <f t="shared" si="32"/>
        <v>0</v>
      </c>
      <c r="BI86" s="193">
        <f t="shared" si="32"/>
        <v>0</v>
      </c>
      <c r="BJ86" s="193">
        <f t="shared" si="32"/>
        <v>0</v>
      </c>
      <c r="BK86" s="8"/>
      <c r="BL86" s="8"/>
      <c r="BM86" s="8"/>
    </row>
    <row r="87" spans="1:82" ht="15.75" customHeight="1" x14ac:dyDescent="0.3">
      <c r="B87" s="193" t="s">
        <v>142</v>
      </c>
      <c r="C87" s="193">
        <f>+C86</f>
        <v>1962832.2986899999</v>
      </c>
      <c r="D87" s="193">
        <f t="shared" ref="D87:BJ87" si="33">+C87+D86</f>
        <v>2012907.2986899999</v>
      </c>
      <c r="E87" s="193">
        <f t="shared" si="33"/>
        <v>2077998.2889399999</v>
      </c>
      <c r="F87" s="193">
        <f t="shared" si="33"/>
        <v>2088412.8473799999</v>
      </c>
      <c r="G87" s="193">
        <f t="shared" si="33"/>
        <v>2088412.8473799999</v>
      </c>
      <c r="H87" s="193">
        <f t="shared" si="33"/>
        <v>2088412.8473799999</v>
      </c>
      <c r="I87" s="193">
        <f t="shared" si="33"/>
        <v>2098827.40582</v>
      </c>
      <c r="J87" s="193">
        <f t="shared" si="33"/>
        <v>2098827.40582</v>
      </c>
      <c r="K87" s="193">
        <f t="shared" si="33"/>
        <v>2098827.40582</v>
      </c>
      <c r="L87" s="193">
        <f t="shared" si="33"/>
        <v>2290683.7192600002</v>
      </c>
      <c r="M87" s="193">
        <f t="shared" si="33"/>
        <v>2407678.9492600001</v>
      </c>
      <c r="N87" s="193">
        <f t="shared" si="33"/>
        <v>2624824.1792600001</v>
      </c>
      <c r="O87" s="193">
        <f t="shared" si="33"/>
        <v>3174616.5926999999</v>
      </c>
      <c r="P87" s="193">
        <f t="shared" si="33"/>
        <v>3608093.8347</v>
      </c>
      <c r="Q87" s="193">
        <f t="shared" si="33"/>
        <v>4106017.6017</v>
      </c>
      <c r="R87" s="193">
        <f t="shared" si="33"/>
        <v>4603941.3687000005</v>
      </c>
      <c r="S87" s="193">
        <f t="shared" si="33"/>
        <v>5192348.0568000004</v>
      </c>
      <c r="T87" s="193">
        <f t="shared" si="33"/>
        <v>5643521.5488</v>
      </c>
      <c r="U87" s="193">
        <f t="shared" si="33"/>
        <v>6097912.5407999996</v>
      </c>
      <c r="V87" s="193">
        <f t="shared" si="33"/>
        <v>6748860.6077999994</v>
      </c>
      <c r="W87" s="193">
        <f t="shared" si="33"/>
        <v>7340188.3997999998</v>
      </c>
      <c r="X87" s="193">
        <f t="shared" si="33"/>
        <v>7935806.1918000001</v>
      </c>
      <c r="Y87" s="193">
        <f t="shared" si="33"/>
        <v>8497303.8549000006</v>
      </c>
      <c r="Z87" s="193">
        <f t="shared" si="33"/>
        <v>9036518.8719000015</v>
      </c>
      <c r="AA87" s="193">
        <f t="shared" si="33"/>
        <v>9515041.1139000021</v>
      </c>
      <c r="AB87" s="193">
        <f t="shared" si="33"/>
        <v>9908935.2849000022</v>
      </c>
      <c r="AC87" s="193">
        <f t="shared" si="33"/>
        <v>10153218.609900001</v>
      </c>
      <c r="AD87" s="193">
        <f t="shared" si="33"/>
        <v>10342475.078730002</v>
      </c>
      <c r="AE87" s="193">
        <f t="shared" si="33"/>
        <v>10403910.997560002</v>
      </c>
      <c r="AF87" s="193">
        <f t="shared" si="33"/>
        <v>11269721.916390002</v>
      </c>
      <c r="AG87" s="193">
        <f t="shared" si="33"/>
        <v>12122126.585220002</v>
      </c>
      <c r="AH87" s="193">
        <f t="shared" si="33"/>
        <v>12961125.004050002</v>
      </c>
      <c r="AI87" s="193">
        <f t="shared" si="33"/>
        <v>13778906.254050002</v>
      </c>
      <c r="AJ87" s="193">
        <f t="shared" si="33"/>
        <v>13778906.254050002</v>
      </c>
      <c r="AK87" s="193">
        <f t="shared" si="33"/>
        <v>13778906.254050002</v>
      </c>
      <c r="AL87" s="193">
        <f t="shared" si="33"/>
        <v>13778906.254050002</v>
      </c>
      <c r="AM87" s="193">
        <f t="shared" si="33"/>
        <v>13778906.254050002</v>
      </c>
      <c r="AN87" s="193">
        <f t="shared" si="33"/>
        <v>13778906.254050002</v>
      </c>
      <c r="AO87" s="193">
        <f t="shared" si="33"/>
        <v>13778906.254050002</v>
      </c>
      <c r="AP87" s="193">
        <f t="shared" si="33"/>
        <v>13778906.254050002</v>
      </c>
      <c r="AQ87" s="193">
        <f t="shared" si="33"/>
        <v>13778906.254050002</v>
      </c>
      <c r="AR87" s="193">
        <f t="shared" si="33"/>
        <v>13778906.254050002</v>
      </c>
      <c r="AS87" s="193">
        <f t="shared" si="33"/>
        <v>13778906.254050002</v>
      </c>
      <c r="AT87" s="193">
        <f t="shared" si="33"/>
        <v>13778906.254050002</v>
      </c>
      <c r="AU87" s="193">
        <f t="shared" si="33"/>
        <v>13778906.254050002</v>
      </c>
      <c r="AV87" s="193">
        <f t="shared" si="33"/>
        <v>13778906.254050002</v>
      </c>
      <c r="AW87" s="193">
        <f t="shared" si="33"/>
        <v>13778906.254050002</v>
      </c>
      <c r="AX87" s="193">
        <f t="shared" si="33"/>
        <v>13778906.254050002</v>
      </c>
      <c r="AY87" s="193">
        <f t="shared" si="33"/>
        <v>13778906.254050002</v>
      </c>
      <c r="AZ87" s="193">
        <f t="shared" si="33"/>
        <v>13778906.254050002</v>
      </c>
      <c r="BA87" s="193">
        <f t="shared" si="33"/>
        <v>13778906.254050002</v>
      </c>
      <c r="BB87" s="193">
        <f t="shared" si="33"/>
        <v>13778906.254050002</v>
      </c>
      <c r="BC87" s="193">
        <f t="shared" si="33"/>
        <v>13778906.254050002</v>
      </c>
      <c r="BD87" s="193">
        <f t="shared" si="33"/>
        <v>13778906.254050002</v>
      </c>
      <c r="BE87" s="193">
        <f t="shared" si="33"/>
        <v>13778906.254050002</v>
      </c>
      <c r="BF87" s="193">
        <f t="shared" si="33"/>
        <v>13778906.254050002</v>
      </c>
      <c r="BG87" s="193">
        <f t="shared" si="33"/>
        <v>13778906.254050002</v>
      </c>
      <c r="BH87" s="193">
        <f t="shared" si="33"/>
        <v>13778906.254050002</v>
      </c>
      <c r="BI87" s="193">
        <f t="shared" si="33"/>
        <v>13778906.254050002</v>
      </c>
      <c r="BJ87" s="193">
        <f t="shared" si="33"/>
        <v>13778906.254050002</v>
      </c>
      <c r="BK87" s="8"/>
      <c r="BL87" s="8"/>
      <c r="BM87" s="8"/>
    </row>
    <row r="88" spans="1:82" ht="15.75" customHeight="1" x14ac:dyDescent="0.3">
      <c r="BK88" s="6"/>
      <c r="BL88" s="3"/>
    </row>
    <row r="89" spans="1:82" ht="15.75" customHeight="1" x14ac:dyDescent="0.3">
      <c r="B89" s="209" t="s">
        <v>160</v>
      </c>
      <c r="C89" s="209">
        <f t="shared" ref="C89:BJ89" si="34">+C18-C86</f>
        <v>-1962832.2986899999</v>
      </c>
      <c r="D89" s="209">
        <f t="shared" si="34"/>
        <v>-50075</v>
      </c>
      <c r="E89" s="209">
        <f t="shared" si="34"/>
        <v>-65090.990250000003</v>
      </c>
      <c r="F89" s="209">
        <f t="shared" si="34"/>
        <v>-10414.558440000001</v>
      </c>
      <c r="G89" s="209">
        <f t="shared" si="34"/>
        <v>0</v>
      </c>
      <c r="H89" s="209">
        <f t="shared" si="34"/>
        <v>0</v>
      </c>
      <c r="I89" s="209">
        <f t="shared" si="34"/>
        <v>-10414.558440000001</v>
      </c>
      <c r="J89" s="209">
        <f t="shared" si="34"/>
        <v>0</v>
      </c>
      <c r="K89" s="209">
        <f t="shared" si="34"/>
        <v>5000</v>
      </c>
      <c r="L89" s="209">
        <f t="shared" si="34"/>
        <v>-26856.313440000027</v>
      </c>
      <c r="M89" s="209">
        <f t="shared" si="34"/>
        <v>61031.085789473684</v>
      </c>
      <c r="N89" s="209">
        <f t="shared" si="34"/>
        <v>-25368.914210526331</v>
      </c>
      <c r="O89" s="209">
        <f t="shared" si="34"/>
        <v>-346457.27412111446</v>
      </c>
      <c r="P89" s="209">
        <f t="shared" si="34"/>
        <v>-310673.35268111457</v>
      </c>
      <c r="Q89" s="209">
        <f t="shared" si="34"/>
        <v>-368519.87768111459</v>
      </c>
      <c r="R89" s="209">
        <f t="shared" si="34"/>
        <v>-361448.44910968601</v>
      </c>
      <c r="S89" s="209">
        <f t="shared" si="34"/>
        <v>617459.01440569863</v>
      </c>
      <c r="T89" s="209">
        <f t="shared" si="34"/>
        <v>-105782.78949430131</v>
      </c>
      <c r="U89" s="209">
        <f t="shared" si="34"/>
        <v>-100000.28949430131</v>
      </c>
      <c r="V89" s="209">
        <f t="shared" si="34"/>
        <v>-190132.36449430138</v>
      </c>
      <c r="W89" s="209">
        <f t="shared" si="34"/>
        <v>-151687.08949430136</v>
      </c>
      <c r="X89" s="209">
        <f t="shared" si="34"/>
        <v>-143602.08949430136</v>
      </c>
      <c r="Y89" s="209">
        <f t="shared" si="34"/>
        <v>-127514.10345144419</v>
      </c>
      <c r="Z89" s="209">
        <f t="shared" si="34"/>
        <v>-88731.457351444289</v>
      </c>
      <c r="AA89" s="209">
        <f t="shared" si="34"/>
        <v>-41413.682351444149</v>
      </c>
      <c r="AB89" s="209">
        <f t="shared" si="34"/>
        <v>2789.3886485558469</v>
      </c>
      <c r="AC89" s="209">
        <f t="shared" si="34"/>
        <v>72550.234648555808</v>
      </c>
      <c r="AD89" s="209">
        <f t="shared" si="34"/>
        <v>95402.090818555822</v>
      </c>
      <c r="AE89" s="209">
        <f t="shared" si="34"/>
        <v>158872.64081855578</v>
      </c>
      <c r="AF89" s="209">
        <f t="shared" si="34"/>
        <v>2846689.0811700001</v>
      </c>
      <c r="AG89" s="209">
        <f t="shared" si="34"/>
        <v>2860095.3311700001</v>
      </c>
      <c r="AH89" s="209">
        <f t="shared" si="34"/>
        <v>2873501.5811700001</v>
      </c>
      <c r="AI89" s="209">
        <f t="shared" si="34"/>
        <v>-817781.25</v>
      </c>
      <c r="AJ89" s="209">
        <f t="shared" si="34"/>
        <v>0</v>
      </c>
      <c r="AK89" s="209">
        <f t="shared" si="34"/>
        <v>0</v>
      </c>
      <c r="AL89" s="209">
        <f t="shared" si="34"/>
        <v>0</v>
      </c>
      <c r="AM89" s="209">
        <f t="shared" si="34"/>
        <v>0</v>
      </c>
      <c r="AN89" s="209">
        <f t="shared" si="34"/>
        <v>0</v>
      </c>
      <c r="AO89" s="209">
        <f t="shared" si="34"/>
        <v>0</v>
      </c>
      <c r="AP89" s="209">
        <f t="shared" si="34"/>
        <v>0</v>
      </c>
      <c r="AQ89" s="209">
        <f t="shared" si="34"/>
        <v>0</v>
      </c>
      <c r="AR89" s="209">
        <f t="shared" si="34"/>
        <v>0</v>
      </c>
      <c r="AS89" s="209">
        <f t="shared" si="34"/>
        <v>0</v>
      </c>
      <c r="AT89" s="209">
        <f t="shared" si="34"/>
        <v>0</v>
      </c>
      <c r="AU89" s="209">
        <f t="shared" si="34"/>
        <v>0</v>
      </c>
      <c r="AV89" s="209">
        <f t="shared" si="34"/>
        <v>0</v>
      </c>
      <c r="AW89" s="209">
        <f t="shared" si="34"/>
        <v>0</v>
      </c>
      <c r="AX89" s="209">
        <f t="shared" si="34"/>
        <v>0</v>
      </c>
      <c r="AY89" s="209">
        <f t="shared" si="34"/>
        <v>0</v>
      </c>
      <c r="AZ89" s="209">
        <f t="shared" si="34"/>
        <v>0</v>
      </c>
      <c r="BA89" s="209">
        <f t="shared" si="34"/>
        <v>0</v>
      </c>
      <c r="BB89" s="209">
        <f t="shared" si="34"/>
        <v>0</v>
      </c>
      <c r="BC89" s="209">
        <f t="shared" si="34"/>
        <v>0</v>
      </c>
      <c r="BD89" s="209">
        <f t="shared" si="34"/>
        <v>0</v>
      </c>
      <c r="BE89" s="209">
        <f t="shared" si="34"/>
        <v>0</v>
      </c>
      <c r="BF89" s="209">
        <f t="shared" si="34"/>
        <v>0</v>
      </c>
      <c r="BG89" s="209">
        <f t="shared" si="34"/>
        <v>0</v>
      </c>
      <c r="BH89" s="209">
        <f t="shared" si="34"/>
        <v>0</v>
      </c>
      <c r="BI89" s="209">
        <f t="shared" si="34"/>
        <v>0</v>
      </c>
      <c r="BJ89" s="209">
        <f t="shared" si="34"/>
        <v>0</v>
      </c>
      <c r="BK89" s="6"/>
      <c r="BL89" s="6"/>
      <c r="BM89" s="6"/>
      <c r="BN89" s="6"/>
      <c r="BO89" s="6"/>
    </row>
    <row r="90" spans="1:82" ht="15.75" customHeight="1" x14ac:dyDescent="0.3">
      <c r="B90" s="209" t="s">
        <v>142</v>
      </c>
      <c r="C90" s="209">
        <f>+C89</f>
        <v>-1962832.2986899999</v>
      </c>
      <c r="D90" s="209">
        <f t="shared" ref="D90:BJ90" si="35">+C90+D89</f>
        <v>-2012907.2986899999</v>
      </c>
      <c r="E90" s="209">
        <f t="shared" si="35"/>
        <v>-2077998.2889399999</v>
      </c>
      <c r="F90" s="209">
        <f t="shared" si="35"/>
        <v>-2088412.8473799999</v>
      </c>
      <c r="G90" s="209">
        <f t="shared" si="35"/>
        <v>-2088412.8473799999</v>
      </c>
      <c r="H90" s="209">
        <f t="shared" si="35"/>
        <v>-2088412.8473799999</v>
      </c>
      <c r="I90" s="209">
        <f t="shared" si="35"/>
        <v>-2098827.40582</v>
      </c>
      <c r="J90" s="209">
        <f t="shared" si="35"/>
        <v>-2098827.40582</v>
      </c>
      <c r="K90" s="209">
        <f t="shared" si="35"/>
        <v>-2093827.40582</v>
      </c>
      <c r="L90" s="209">
        <f t="shared" si="35"/>
        <v>-2120683.7192600002</v>
      </c>
      <c r="M90" s="209">
        <f t="shared" si="35"/>
        <v>-2059652.6334705264</v>
      </c>
      <c r="N90" s="209">
        <f t="shared" si="35"/>
        <v>-2085021.5476810527</v>
      </c>
      <c r="O90" s="209">
        <f t="shared" si="35"/>
        <v>-2431478.8218021672</v>
      </c>
      <c r="P90" s="209">
        <f t="shared" si="35"/>
        <v>-2742152.1744832816</v>
      </c>
      <c r="Q90" s="209">
        <f t="shared" si="35"/>
        <v>-3110672.0521643963</v>
      </c>
      <c r="R90" s="209">
        <f t="shared" si="35"/>
        <v>-3472120.5012740823</v>
      </c>
      <c r="S90" s="209">
        <f t="shared" si="35"/>
        <v>-2854661.4868683838</v>
      </c>
      <c r="T90" s="209">
        <f t="shared" si="35"/>
        <v>-2960444.276362685</v>
      </c>
      <c r="U90" s="209">
        <f t="shared" si="35"/>
        <v>-3060444.5658569862</v>
      </c>
      <c r="V90" s="209">
        <f t="shared" si="35"/>
        <v>-3250576.9303512876</v>
      </c>
      <c r="W90" s="209">
        <f t="shared" si="35"/>
        <v>-3402264.0198455891</v>
      </c>
      <c r="X90" s="209">
        <f t="shared" si="35"/>
        <v>-3545866.1093398905</v>
      </c>
      <c r="Y90" s="209">
        <f t="shared" si="35"/>
        <v>-3673380.2127913348</v>
      </c>
      <c r="Z90" s="209">
        <f t="shared" si="35"/>
        <v>-3762111.6701427791</v>
      </c>
      <c r="AA90" s="209">
        <f t="shared" si="35"/>
        <v>-3803525.352494223</v>
      </c>
      <c r="AB90" s="209">
        <f t="shared" si="35"/>
        <v>-3800735.9638456674</v>
      </c>
      <c r="AC90" s="209">
        <f t="shared" si="35"/>
        <v>-3728185.7291971114</v>
      </c>
      <c r="AD90" s="209">
        <f t="shared" si="35"/>
        <v>-3632783.6383785554</v>
      </c>
      <c r="AE90" s="209">
        <f t="shared" si="35"/>
        <v>-3473910.9975599996</v>
      </c>
      <c r="AF90" s="209">
        <f t="shared" si="35"/>
        <v>-627221.91638999945</v>
      </c>
      <c r="AG90" s="209">
        <f t="shared" si="35"/>
        <v>2232873.4147800007</v>
      </c>
      <c r="AH90" s="209">
        <f t="shared" si="35"/>
        <v>5106374.9959500004</v>
      </c>
      <c r="AI90" s="209">
        <f t="shared" si="35"/>
        <v>4288593.7459500004</v>
      </c>
      <c r="AJ90" s="209">
        <f t="shared" si="35"/>
        <v>4288593.7459500004</v>
      </c>
      <c r="AK90" s="209">
        <f t="shared" si="35"/>
        <v>4288593.7459500004</v>
      </c>
      <c r="AL90" s="209">
        <f t="shared" si="35"/>
        <v>4288593.7459500004</v>
      </c>
      <c r="AM90" s="209">
        <f t="shared" si="35"/>
        <v>4288593.7459500004</v>
      </c>
      <c r="AN90" s="209">
        <f t="shared" si="35"/>
        <v>4288593.7459500004</v>
      </c>
      <c r="AO90" s="209">
        <f t="shared" si="35"/>
        <v>4288593.7459500004</v>
      </c>
      <c r="AP90" s="209">
        <f t="shared" si="35"/>
        <v>4288593.7459500004</v>
      </c>
      <c r="AQ90" s="209">
        <f t="shared" si="35"/>
        <v>4288593.7459500004</v>
      </c>
      <c r="AR90" s="209">
        <f t="shared" si="35"/>
        <v>4288593.7459500004</v>
      </c>
      <c r="AS90" s="209">
        <f t="shared" si="35"/>
        <v>4288593.7459500004</v>
      </c>
      <c r="AT90" s="209">
        <f t="shared" si="35"/>
        <v>4288593.7459500004</v>
      </c>
      <c r="AU90" s="209">
        <f t="shared" si="35"/>
        <v>4288593.7459500004</v>
      </c>
      <c r="AV90" s="209">
        <f t="shared" si="35"/>
        <v>4288593.7459500004</v>
      </c>
      <c r="AW90" s="209">
        <f t="shared" si="35"/>
        <v>4288593.7459500004</v>
      </c>
      <c r="AX90" s="209">
        <f t="shared" si="35"/>
        <v>4288593.7459500004</v>
      </c>
      <c r="AY90" s="209">
        <f t="shared" si="35"/>
        <v>4288593.7459500004</v>
      </c>
      <c r="AZ90" s="209">
        <f t="shared" si="35"/>
        <v>4288593.7459500004</v>
      </c>
      <c r="BA90" s="209">
        <f t="shared" si="35"/>
        <v>4288593.7459500004</v>
      </c>
      <c r="BB90" s="209">
        <f t="shared" si="35"/>
        <v>4288593.7459500004</v>
      </c>
      <c r="BC90" s="209">
        <f t="shared" si="35"/>
        <v>4288593.7459500004</v>
      </c>
      <c r="BD90" s="209">
        <f t="shared" si="35"/>
        <v>4288593.7459500004</v>
      </c>
      <c r="BE90" s="209">
        <f t="shared" si="35"/>
        <v>4288593.7459500004</v>
      </c>
      <c r="BF90" s="209">
        <f t="shared" si="35"/>
        <v>4288593.7459500004</v>
      </c>
      <c r="BG90" s="209">
        <f t="shared" si="35"/>
        <v>4288593.7459500004</v>
      </c>
      <c r="BH90" s="209">
        <f t="shared" si="35"/>
        <v>4288593.7459500004</v>
      </c>
      <c r="BI90" s="209">
        <f t="shared" si="35"/>
        <v>4288593.7459500004</v>
      </c>
      <c r="BJ90" s="209">
        <f t="shared" si="35"/>
        <v>4288593.7459500004</v>
      </c>
      <c r="BK90" s="6">
        <v>0</v>
      </c>
      <c r="BL90" s="6"/>
      <c r="BM90" s="6"/>
      <c r="BN90" s="6"/>
      <c r="BO90" s="6"/>
    </row>
    <row r="91" spans="1:82" ht="15.75" customHeight="1" x14ac:dyDescent="0.3">
      <c r="B91" s="211" t="s">
        <v>161</v>
      </c>
      <c r="C91" s="212">
        <f>+MIN(C90:M90)</f>
        <v>-2120683.7192600002</v>
      </c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213"/>
      <c r="AE91" s="213"/>
      <c r="AF91" s="213"/>
      <c r="AG91" s="213"/>
      <c r="AH91" s="213"/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  <c r="BC91" s="213"/>
      <c r="BD91" s="213"/>
      <c r="BE91" s="213"/>
      <c r="BF91" s="213"/>
      <c r="BG91" s="213"/>
      <c r="BH91" s="213"/>
      <c r="BI91" s="213"/>
      <c r="BJ91" s="213"/>
      <c r="BK91" s="6"/>
      <c r="BL91" s="6"/>
      <c r="BM91" s="6"/>
      <c r="BN91" s="6"/>
      <c r="BO91" s="6"/>
    </row>
    <row r="92" spans="1:82" ht="15.75" customHeight="1" x14ac:dyDescent="0.3">
      <c r="B92" s="211" t="s">
        <v>162</v>
      </c>
      <c r="C92" s="212">
        <f>+MIN(C90:BJ90)</f>
        <v>-3803525.352494223</v>
      </c>
      <c r="D92" s="6"/>
      <c r="E92" s="6"/>
      <c r="F92" s="6"/>
      <c r="G92" s="6"/>
      <c r="H92" s="6"/>
      <c r="J92" s="6"/>
      <c r="L92" s="6"/>
      <c r="U92" s="6"/>
      <c r="AA92" s="6"/>
      <c r="BK92" s="6"/>
    </row>
    <row r="93" spans="1:82" ht="15.75" customHeight="1" x14ac:dyDescent="0.3">
      <c r="D93" s="6"/>
      <c r="E93" s="6"/>
      <c r="F93" s="6"/>
      <c r="G93" s="6"/>
      <c r="H93" s="6"/>
      <c r="M93" s="220">
        <v>1.0871999999999999</v>
      </c>
      <c r="N93" s="207">
        <v>1.0871999999999999</v>
      </c>
      <c r="O93" s="207">
        <v>1.0872999999999999</v>
      </c>
      <c r="P93" s="207">
        <v>1.0873999999999999</v>
      </c>
      <c r="Q93" s="207">
        <v>1.0900000000000001</v>
      </c>
      <c r="R93" s="207">
        <v>1.0900000000000001</v>
      </c>
      <c r="S93" s="207">
        <v>1.0900000000000001</v>
      </c>
      <c r="T93" s="207">
        <v>1.0900000000000001</v>
      </c>
      <c r="U93" s="207">
        <v>1.0900000000000001</v>
      </c>
      <c r="V93" s="207">
        <v>1.0900000000000001</v>
      </c>
      <c r="W93" s="207">
        <v>1.0900000000000001</v>
      </c>
      <c r="X93" s="221">
        <v>1.0900000000000001</v>
      </c>
      <c r="Y93" s="207">
        <v>1.1000000000000001</v>
      </c>
      <c r="Z93" s="207">
        <f t="shared" ref="Z93:BA93" si="36">+Y93</f>
        <v>1.1000000000000001</v>
      </c>
      <c r="AA93" s="207">
        <f t="shared" si="36"/>
        <v>1.1000000000000001</v>
      </c>
      <c r="AB93" s="207">
        <f t="shared" si="36"/>
        <v>1.1000000000000001</v>
      </c>
      <c r="AC93" s="207">
        <f t="shared" si="36"/>
        <v>1.1000000000000001</v>
      </c>
      <c r="AD93" s="207">
        <f t="shared" si="36"/>
        <v>1.1000000000000001</v>
      </c>
      <c r="AE93" s="207">
        <f t="shared" si="36"/>
        <v>1.1000000000000001</v>
      </c>
      <c r="AF93" s="207">
        <f t="shared" si="36"/>
        <v>1.1000000000000001</v>
      </c>
      <c r="AG93" s="207">
        <f t="shared" si="36"/>
        <v>1.1000000000000001</v>
      </c>
      <c r="AH93" s="207">
        <f t="shared" si="36"/>
        <v>1.1000000000000001</v>
      </c>
      <c r="AI93" s="207">
        <f t="shared" si="36"/>
        <v>1.1000000000000001</v>
      </c>
      <c r="AJ93" s="207">
        <f t="shared" si="36"/>
        <v>1.1000000000000001</v>
      </c>
      <c r="AK93" s="207">
        <f t="shared" si="36"/>
        <v>1.1000000000000001</v>
      </c>
      <c r="AL93" s="207">
        <f t="shared" si="36"/>
        <v>1.1000000000000001</v>
      </c>
      <c r="AM93" s="207">
        <f t="shared" si="36"/>
        <v>1.1000000000000001</v>
      </c>
      <c r="AN93" s="207">
        <f t="shared" si="36"/>
        <v>1.1000000000000001</v>
      </c>
      <c r="AO93" s="207">
        <f t="shared" si="36"/>
        <v>1.1000000000000001</v>
      </c>
      <c r="AP93" s="207">
        <f t="shared" si="36"/>
        <v>1.1000000000000001</v>
      </c>
      <c r="AQ93" s="207">
        <f t="shared" si="36"/>
        <v>1.1000000000000001</v>
      </c>
      <c r="AR93" s="207">
        <f t="shared" si="36"/>
        <v>1.1000000000000001</v>
      </c>
      <c r="AS93" s="207">
        <f t="shared" si="36"/>
        <v>1.1000000000000001</v>
      </c>
      <c r="AT93" s="207">
        <f t="shared" si="36"/>
        <v>1.1000000000000001</v>
      </c>
      <c r="AU93" s="207">
        <f t="shared" si="36"/>
        <v>1.1000000000000001</v>
      </c>
      <c r="AV93" s="207">
        <f t="shared" si="36"/>
        <v>1.1000000000000001</v>
      </c>
      <c r="AW93" s="207">
        <f t="shared" si="36"/>
        <v>1.1000000000000001</v>
      </c>
      <c r="AX93" s="207">
        <f t="shared" si="36"/>
        <v>1.1000000000000001</v>
      </c>
      <c r="AY93" s="207">
        <f t="shared" si="36"/>
        <v>1.1000000000000001</v>
      </c>
      <c r="AZ93" s="207">
        <f t="shared" si="36"/>
        <v>1.1000000000000001</v>
      </c>
      <c r="BA93" s="207">
        <f t="shared" si="36"/>
        <v>1.1000000000000001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</row>
    <row r="94" spans="1:82" ht="15.75" customHeight="1" x14ac:dyDescent="0.3"/>
    <row r="95" spans="1:82" ht="15.75" customHeight="1" x14ac:dyDescent="0.3"/>
    <row r="96" spans="1:82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</sheetData>
  <mergeCells count="2">
    <mergeCell ref="B7:B8"/>
    <mergeCell ref="B11:B12"/>
  </mergeCells>
  <pageMargins left="0.25" right="0.25" top="0.75" bottom="0.75" header="0" footer="0"/>
  <pageSetup paperSize="3" orientation="landscape"/>
  <colBreaks count="1" manualBreakCount="1">
    <brk id="6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EV INTERES SOCIAL</vt:lpstr>
      <vt:lpstr>CASH FLOW INTERES SOCIAL</vt:lpstr>
      <vt:lpstr>EV TURISTICOS</vt:lpstr>
      <vt:lpstr>CASH FLOW - TURISTICOS</vt:lpstr>
      <vt:lpstr>'EV INTERES SOCIAL'!Área_de_impresión</vt:lpstr>
      <vt:lpstr>'EV TURISTICOS'!Área_de_impresión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 15</dc:creator>
  <cp:lastModifiedBy>Pavilion 15</cp:lastModifiedBy>
  <dcterms:created xsi:type="dcterms:W3CDTF">2026-06-08T14:33:14Z</dcterms:created>
  <dcterms:modified xsi:type="dcterms:W3CDTF">2026-06-08T14:39:17Z</dcterms:modified>
</cp:coreProperties>
</file>